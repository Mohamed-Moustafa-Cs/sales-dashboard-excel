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hmed\Desktop\7amo\nti\"/>
    </mc:Choice>
  </mc:AlternateContent>
  <xr:revisionPtr revIDLastSave="0" documentId="13_ncr:1_{0E6A40A8-E37B-48A9-AE37-323ED8E70316}" xr6:coauthVersionLast="47" xr6:coauthVersionMax="47" xr10:uidLastSave="{00000000-0000-0000-0000-000000000000}"/>
  <bookViews>
    <workbookView xWindow="-120" yWindow="-120" windowWidth="29040" windowHeight="15840" xr2:uid="{00000000-000D-0000-FFFF-FFFF00000000}"/>
  </bookViews>
  <sheets>
    <sheet name="Dashboard" sheetId="5" r:id="rId1"/>
    <sheet name="Detail1" sheetId="7" r:id="rId2"/>
    <sheet name="Detail2" sheetId="8" r:id="rId3"/>
    <sheet name="Sheet2" sheetId="6" r:id="rId4"/>
    <sheet name="Sheet3" sheetId="9" r:id="rId5"/>
    <sheet name="Data" sheetId="3" r:id="rId6"/>
    <sheet name="Pivot Tables" sheetId="4" r:id="rId7"/>
  </sheets>
  <definedNames>
    <definedName name="_xlcn.WorksheetConnection_deliveries.csvA1N180791">Data!$A$1:$O$18079</definedName>
    <definedName name="NativeTimeline_Month">#N/A</definedName>
    <definedName name="Slicer_Quarter1">#N/A</definedName>
    <definedName name="Slicer_Region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4" l="1"/>
  <c r="E15" i="4"/>
  <c r="E13" i="4"/>
  <c r="E12" i="4"/>
  <c r="E10" i="4"/>
  <c r="E9" i="4"/>
  <c r="E5" i="4"/>
  <c r="E4" i="4"/>
  <c r="E3" i="4"/>
  <c r="C4" i="6"/>
</calcChain>
</file>

<file path=xl/sharedStrings.xml><?xml version="1.0" encoding="utf-8"?>
<sst xmlns="http://schemas.openxmlformats.org/spreadsheetml/2006/main" count="480" uniqueCount="43">
  <si>
    <t>Month</t>
  </si>
  <si>
    <t>Region</t>
  </si>
  <si>
    <t>Sales</t>
  </si>
  <si>
    <t>Profit</t>
  </si>
  <si>
    <t>Target Sales</t>
  </si>
  <si>
    <t>Customers</t>
  </si>
  <si>
    <t>Quarter</t>
  </si>
  <si>
    <t>Sales Completion Rate</t>
  </si>
  <si>
    <t>Profit Completion Rate</t>
  </si>
  <si>
    <t>Customer Completion Rate</t>
  </si>
  <si>
    <t>Argentina</t>
  </si>
  <si>
    <t>Quarter 1</t>
  </si>
  <si>
    <t>Brazil</t>
  </si>
  <si>
    <t>Chicaco</t>
  </si>
  <si>
    <t>Chile</t>
  </si>
  <si>
    <t>Columbia</t>
  </si>
  <si>
    <t>Los Angeles</t>
  </si>
  <si>
    <t>Peru</t>
  </si>
  <si>
    <t>Quarter 2</t>
  </si>
  <si>
    <t>Quarter 3</t>
  </si>
  <si>
    <t>Values</t>
  </si>
  <si>
    <t>Headers</t>
  </si>
  <si>
    <t>Row Labels</t>
  </si>
  <si>
    <t xml:space="preserve">Sales </t>
  </si>
  <si>
    <t xml:space="preserve">Target Sales </t>
  </si>
  <si>
    <t>Sum of Customers</t>
  </si>
  <si>
    <t>Sum of Profit</t>
  </si>
  <si>
    <t>Sum of Sales</t>
  </si>
  <si>
    <t>Average of Sales Completion Rate</t>
  </si>
  <si>
    <t>Sales Completion</t>
  </si>
  <si>
    <t>Sales Incompletion</t>
  </si>
  <si>
    <t>Grand Total</t>
  </si>
  <si>
    <t>Average of Profit Completion Rate</t>
  </si>
  <si>
    <t>Profit Completion</t>
  </si>
  <si>
    <t>Profit Incompletion</t>
  </si>
  <si>
    <t>Average of Customer Completion Rate</t>
  </si>
  <si>
    <t>Customer Completion</t>
  </si>
  <si>
    <t>Customer Incompletion</t>
  </si>
  <si>
    <t>Column1</t>
  </si>
  <si>
    <t>Column2</t>
  </si>
  <si>
    <t>Details for Max of Sales</t>
  </si>
  <si>
    <t>Average of Sales</t>
  </si>
  <si>
    <t>Details for Min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</si>
</sst>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
    <numFmt numFmtId="165" formatCode="\$* #,##0_-;\-* #,##0_-;_-* &quot;-&quot;??_-;_-@"/>
  </numFmts>
  <fonts count="6" x14ac:knownFonts="1">
    <font>
      <sz val="12"/>
      <color theme="1"/>
      <name val="Calibri"/>
      <scheme val="minor"/>
    </font>
    <font>
      <sz val="12"/>
      <color theme="1"/>
      <name val="Calibri"/>
      <family val="2"/>
      <scheme val="minor"/>
    </font>
    <font>
      <sz val="12"/>
      <color theme="1"/>
      <name val="Calibri"/>
      <family val="2"/>
    </font>
    <font>
      <b/>
      <sz val="12"/>
      <color theme="1"/>
      <name val="Calibri"/>
      <family val="2"/>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theme="0" tint="-0.49998474074526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4">
    <xf numFmtId="0" fontId="0" fillId="0" borderId="0" xfId="0"/>
    <xf numFmtId="0" fontId="1" fillId="0" borderId="0" xfId="0" applyFont="1"/>
    <xf numFmtId="17" fontId="2" fillId="0" borderId="0" xfId="0" applyNumberFormat="1" applyFont="1"/>
    <xf numFmtId="164" fontId="2" fillId="0" borderId="0" xfId="0" applyNumberFormat="1" applyFont="1"/>
    <xf numFmtId="9" fontId="2" fillId="0" borderId="0" xfId="0" applyNumberFormat="1" applyFont="1"/>
    <xf numFmtId="1" fontId="2" fillId="0" borderId="0" xfId="0" applyNumberFormat="1" applyFont="1"/>
    <xf numFmtId="164" fontId="2" fillId="0" borderId="1" xfId="0" applyNumberFormat="1" applyFont="1" applyBorder="1"/>
    <xf numFmtId="0" fontId="2" fillId="0" borderId="2" xfId="0" applyFont="1" applyBorder="1" applyAlignment="1">
      <alignment horizontal="left"/>
    </xf>
    <xf numFmtId="164" fontId="2" fillId="0" borderId="3" xfId="0" applyNumberFormat="1" applyFont="1" applyBorder="1"/>
    <xf numFmtId="0" fontId="3" fillId="0" borderId="4" xfId="0" applyFont="1" applyBorder="1"/>
    <xf numFmtId="0" fontId="1" fillId="0" borderId="5" xfId="0" applyFont="1" applyBorder="1"/>
    <xf numFmtId="0" fontId="2" fillId="0" borderId="6" xfId="0" applyFont="1" applyBorder="1" applyAlignment="1">
      <alignment horizontal="left"/>
    </xf>
    <xf numFmtId="164" fontId="2" fillId="0" borderId="7" xfId="0" applyNumberFormat="1" applyFont="1" applyBorder="1"/>
    <xf numFmtId="0" fontId="1" fillId="0" borderId="8" xfId="0" applyFont="1" applyBorder="1"/>
    <xf numFmtId="9" fontId="2" fillId="0" borderId="9" xfId="0" applyNumberFormat="1" applyFont="1" applyBorder="1"/>
    <xf numFmtId="0" fontId="2" fillId="0" borderId="2" xfId="0" applyFont="1" applyBorder="1"/>
    <xf numFmtId="165" fontId="2" fillId="0" borderId="3" xfId="0" applyNumberFormat="1" applyFont="1" applyBorder="1"/>
    <xf numFmtId="0" fontId="2" fillId="0" borderId="4" xfId="0" applyFont="1" applyBorder="1"/>
    <xf numFmtId="0" fontId="3" fillId="0" borderId="5" xfId="0" applyFont="1" applyBorder="1"/>
    <xf numFmtId="0" fontId="2" fillId="0" borderId="6" xfId="0" applyFont="1" applyBorder="1"/>
    <xf numFmtId="9" fontId="2" fillId="0" borderId="3" xfId="0" applyNumberFormat="1" applyFont="1" applyBorder="1"/>
    <xf numFmtId="9" fontId="2" fillId="0" borderId="5" xfId="0" applyNumberFormat="1" applyFont="1" applyBorder="1"/>
    <xf numFmtId="9" fontId="2" fillId="0" borderId="7" xfId="0" applyNumberFormat="1" applyFont="1" applyBorder="1"/>
    <xf numFmtId="17" fontId="2" fillId="0" borderId="2" xfId="0" applyNumberFormat="1" applyFont="1" applyBorder="1" applyAlignment="1">
      <alignment horizontal="left"/>
    </xf>
    <xf numFmtId="0" fontId="1" fillId="0" borderId="11" xfId="0" applyFont="1" applyBorder="1"/>
    <xf numFmtId="17" fontId="2" fillId="0" borderId="6" xfId="0" applyNumberFormat="1" applyFont="1" applyBorder="1" applyAlignment="1">
      <alignment horizontal="left"/>
    </xf>
    <xf numFmtId="164" fontId="2" fillId="0" borderId="10" xfId="0" applyNumberFormat="1" applyFont="1" applyBorder="1"/>
    <xf numFmtId="0" fontId="1" fillId="2" borderId="0" xfId="0" applyFont="1" applyFill="1"/>
    <xf numFmtId="164" fontId="0" fillId="0" borderId="0" xfId="0" applyNumberFormat="1"/>
    <xf numFmtId="14" fontId="0" fillId="0" borderId="0" xfId="0" applyNumberFormat="1"/>
    <xf numFmtId="0" fontId="4"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63">
    <dxf>
      <font>
        <b val="0"/>
        <i val="0"/>
        <strike val="0"/>
        <condense val="0"/>
        <extend val="0"/>
        <outline val="0"/>
        <shadow val="0"/>
        <u val="none"/>
        <vertAlign val="baseline"/>
        <sz val="12"/>
        <color theme="1"/>
        <name val="Calibri"/>
        <scheme val="none"/>
      </font>
      <numFmt numFmtId="164" formatCode="_-* #,##0_-;\-* #,##0_-;_-* &quot;-&quot;??_-;_-@"/>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2"/>
        <color theme="1"/>
        <name val="Calibri"/>
        <scheme val="none"/>
      </font>
      <numFmt numFmtId="164" formatCode="_-* #,##0_-;\-* #,##0_-;_-* &quot;-&quot;??_-;_-@"/>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numFmt numFmtId="22" formatCode="mmm\-yy"/>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2"/>
        <color theme="1"/>
        <name val="Calibri"/>
        <scheme val="none"/>
      </font>
      <numFmt numFmtId="164" formatCode="_-* #,##0_-;\-* #,##0_-;_-* &quot;-&quot;??_-;_-@"/>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numFmt numFmtId="164" formatCode="_-* #,##0_-;\-* #,##0_-;_-* &quot;-&quot;??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numFmt numFmtId="22" formatCode="mmm\-yy"/>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2"/>
        <color theme="1"/>
        <name val="Calibri"/>
        <scheme val="none"/>
      </font>
      <numFmt numFmtId="13" formatCode="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2"/>
        <color theme="1"/>
        <name val="Calibri"/>
        <scheme val="none"/>
      </font>
      <numFmt numFmtId="13" formatCode="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2"/>
        <color theme="1"/>
        <name val="Calibri"/>
        <scheme val="none"/>
      </font>
      <numFmt numFmtId="13" formatCode="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2"/>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2"/>
        <color theme="1"/>
        <name val="Calibri"/>
        <scheme val="none"/>
      </font>
      <numFmt numFmtId="13" formatCode="0%"/>
      <border diagonalUp="0" diagonalDown="0">
        <left/>
        <right/>
        <top style="thin">
          <color rgb="FF000000"/>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none"/>
      </font>
    </dxf>
    <dxf>
      <border outline="0">
        <bottom style="thin">
          <color rgb="FF000000"/>
        </bottom>
      </border>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none"/>
      </font>
      <numFmt numFmtId="13" formatCode="0%"/>
      <border diagonalUp="0" diagonalDown="0">
        <left/>
        <right/>
        <top style="thin">
          <color rgb="FF000000"/>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none"/>
      </font>
    </dxf>
    <dxf>
      <border outline="0">
        <bottom style="thin">
          <color rgb="FF000000"/>
        </bottom>
      </border>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none"/>
      </font>
      <numFmt numFmtId="13" formatCode="0%"/>
      <border diagonalUp="0" diagonalDown="0">
        <left/>
        <right/>
        <top style="thin">
          <color rgb="FF000000"/>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none"/>
      </font>
    </dxf>
    <dxf>
      <border outline="0">
        <bottom style="thin">
          <color rgb="FF000000"/>
        </bottom>
      </border>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none"/>
      </font>
      <numFmt numFmtId="164" formatCode="_-* #,##0_-;\-* #,##0_-;_-* &quot;-&quot;??_-;_-@"/>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numFmt numFmtId="19" formatCode="m/d/yyyy"/>
    </dxf>
    <dxf>
      <numFmt numFmtId="19" formatCode="m/d/yyyy"/>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62"/>
      <tableStyleElement type="firstRowStripe" dxfId="61"/>
      <tableStyleElement type="secondRowStripe"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64-468F-8B83-77F8B1715E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64-468F-8B83-77F8B1715ED5}"/>
              </c:ext>
            </c:extLst>
          </c:dPt>
          <c:dLbls>
            <c:dLbl>
              <c:idx val="0"/>
              <c:layout>
                <c:manualLayout>
                  <c:x val="-0.11666666666666667"/>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64-468F-8B83-77F8B1715ED5}"/>
                </c:ext>
              </c:extLst>
            </c:dLbl>
            <c:dLbl>
              <c:idx val="1"/>
              <c:delete val="1"/>
              <c:extLst>
                <c:ext xmlns:c15="http://schemas.microsoft.com/office/drawing/2012/chart" uri="{CE6537A1-D6FC-4f65-9D91-7224C49458BB}"/>
                <c:ext xmlns:c16="http://schemas.microsoft.com/office/drawing/2014/chart" uri="{C3380CC4-5D6E-409C-BE32-E72D297353CC}">
                  <c16:uniqueId val="{00000003-4064-468F-8B83-77F8B1715ED5}"/>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Tables'!$D$15:$D$16</c:f>
              <c:strCache>
                <c:ptCount val="2"/>
                <c:pt idx="0">
                  <c:v>Customer Completion</c:v>
                </c:pt>
                <c:pt idx="1">
                  <c:v>Customer Incompletion</c:v>
                </c:pt>
              </c:strCache>
            </c:strRef>
          </c:cat>
          <c:val>
            <c:numRef>
              <c:f>'Pivot Tables'!$E$15:$E$16</c:f>
              <c:numCache>
                <c:formatCode>0%</c:formatCode>
                <c:ptCount val="2"/>
                <c:pt idx="0">
                  <c:v>0.8447619047619046</c:v>
                </c:pt>
                <c:pt idx="1">
                  <c:v>0.1552380952380954</c:v>
                </c:pt>
              </c:numCache>
            </c:numRef>
          </c:val>
          <c:extLst>
            <c:ext xmlns:c16="http://schemas.microsoft.com/office/drawing/2014/chart" uri="{C3380CC4-5D6E-409C-BE32-E72D297353CC}">
              <c16:uniqueId val="{00000004-4064-468F-8B83-77F8B1715ED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4A-4037-B8B6-B30DD202EB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4A-4037-B8B6-B30DD202EB0D}"/>
              </c:ext>
            </c:extLst>
          </c:dPt>
          <c:dLbls>
            <c:dLbl>
              <c:idx val="0"/>
              <c:layout>
                <c:manualLayout>
                  <c:x val="-8.1137585824405722E-2"/>
                  <c:y val="-0.210313276052110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4A-4037-B8B6-B30DD202EB0D}"/>
                </c:ext>
              </c:extLst>
            </c:dLbl>
            <c:dLbl>
              <c:idx val="1"/>
              <c:delete val="1"/>
              <c:extLst>
                <c:ext xmlns:c15="http://schemas.microsoft.com/office/drawing/2012/chart" uri="{CE6537A1-D6FC-4f65-9D91-7224C49458BB}"/>
                <c:ext xmlns:c16="http://schemas.microsoft.com/office/drawing/2014/chart" uri="{C3380CC4-5D6E-409C-BE32-E72D297353CC}">
                  <c16:uniqueId val="{00000003-1B4A-4037-B8B6-B30DD202EB0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Tables'!$D$9:$D$10</c:f>
              <c:strCache>
                <c:ptCount val="2"/>
                <c:pt idx="0">
                  <c:v>Sales Completion</c:v>
                </c:pt>
                <c:pt idx="1">
                  <c:v>Sales Incompletion</c:v>
                </c:pt>
              </c:strCache>
            </c:strRef>
          </c:cat>
          <c:val>
            <c:numRef>
              <c:f>'Pivot Tables'!$E$9:$E$10</c:f>
              <c:numCache>
                <c:formatCode>0%</c:formatCode>
                <c:ptCount val="2"/>
                <c:pt idx="0">
                  <c:v>0.85555555555555574</c:v>
                </c:pt>
                <c:pt idx="1">
                  <c:v>0.14444444444444426</c:v>
                </c:pt>
              </c:numCache>
            </c:numRef>
          </c:val>
          <c:extLst>
            <c:ext xmlns:c16="http://schemas.microsoft.com/office/drawing/2014/chart" uri="{C3380CC4-5D6E-409C-BE32-E72D297353CC}">
              <c16:uniqueId val="{00000004-1B4A-4037-B8B6-B30DD202EB0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F7-4315-ACDC-8358DB9365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F7-4315-ACDC-8358DB93655C}"/>
              </c:ext>
            </c:extLst>
          </c:dPt>
          <c:dLbls>
            <c:dLbl>
              <c:idx val="0"/>
              <c:layout>
                <c:manualLayout>
                  <c:x val="-8.1137585824405722E-2"/>
                  <c:y val="-0.210313276052110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F7-4315-ACDC-8358DB93655C}"/>
                </c:ext>
              </c:extLst>
            </c:dLbl>
            <c:dLbl>
              <c:idx val="1"/>
              <c:delete val="1"/>
              <c:extLst>
                <c:ext xmlns:c15="http://schemas.microsoft.com/office/drawing/2012/chart" uri="{CE6537A1-D6FC-4f65-9D91-7224C49458BB}"/>
                <c:ext xmlns:c16="http://schemas.microsoft.com/office/drawing/2014/chart" uri="{C3380CC4-5D6E-409C-BE32-E72D297353CC}">
                  <c16:uniqueId val="{00000003-86F7-4315-ACDC-8358DB93655C}"/>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Tables'!$D$9:$D$10</c:f>
              <c:strCache>
                <c:ptCount val="2"/>
                <c:pt idx="0">
                  <c:v>Sales Completion</c:v>
                </c:pt>
                <c:pt idx="1">
                  <c:v>Sales Incompletion</c:v>
                </c:pt>
              </c:strCache>
            </c:strRef>
          </c:cat>
          <c:val>
            <c:numRef>
              <c:f>'Pivot Tables'!$E$9:$E$10</c:f>
              <c:numCache>
                <c:formatCode>0%</c:formatCode>
                <c:ptCount val="2"/>
                <c:pt idx="0">
                  <c:v>0.85555555555555574</c:v>
                </c:pt>
                <c:pt idx="1">
                  <c:v>0.14444444444444426</c:v>
                </c:pt>
              </c:numCache>
            </c:numRef>
          </c:val>
          <c:extLst>
            <c:ext xmlns:c16="http://schemas.microsoft.com/office/drawing/2014/chart" uri="{C3380CC4-5D6E-409C-BE32-E72D297353CC}">
              <c16:uniqueId val="{00000004-86F7-4315-ACDC-8358DB93655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E5-4B05-967F-E1F62831F3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E5-4B05-967F-E1F62831F333}"/>
              </c:ext>
            </c:extLst>
          </c:dPt>
          <c:dLbls>
            <c:dLbl>
              <c:idx val="0"/>
              <c:layout>
                <c:manualLayout>
                  <c:x val="-0.11666666666666667"/>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E5-4B05-967F-E1F62831F333}"/>
                </c:ext>
              </c:extLst>
            </c:dLbl>
            <c:dLbl>
              <c:idx val="1"/>
              <c:delete val="1"/>
              <c:extLst>
                <c:ext xmlns:c15="http://schemas.microsoft.com/office/drawing/2012/chart" uri="{CE6537A1-D6FC-4f65-9D91-7224C49458BB}"/>
                <c:ext xmlns:c16="http://schemas.microsoft.com/office/drawing/2014/chart" uri="{C3380CC4-5D6E-409C-BE32-E72D297353CC}">
                  <c16:uniqueId val="{00000003-DDE5-4B05-967F-E1F62831F333}"/>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Tables'!$D$12:$D$13</c:f>
              <c:strCache>
                <c:ptCount val="2"/>
                <c:pt idx="0">
                  <c:v>Profit Completion</c:v>
                </c:pt>
                <c:pt idx="1">
                  <c:v>Profit Incompletion</c:v>
                </c:pt>
              </c:strCache>
            </c:strRef>
          </c:cat>
          <c:val>
            <c:numRef>
              <c:f>'Pivot Tables'!$E$12:$E$13</c:f>
              <c:numCache>
                <c:formatCode>0%</c:formatCode>
                <c:ptCount val="2"/>
                <c:pt idx="0">
                  <c:v>0.85492063492063519</c:v>
                </c:pt>
                <c:pt idx="1">
                  <c:v>0.14507936507936481</c:v>
                </c:pt>
              </c:numCache>
            </c:numRef>
          </c:val>
          <c:extLst>
            <c:ext xmlns:c16="http://schemas.microsoft.com/office/drawing/2014/chart" uri="{C3380CC4-5D6E-409C-BE32-E72D297353CC}">
              <c16:uniqueId val="{00000004-DDE5-4B05-967F-E1F62831F33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Dashboards.xlsx]Sheet3!PivotTable2</c:name>
    <c:fmtId val="4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multiLvlStrRef>
              <c:f>Sheet3!$A$4:$A$28</c:f>
              <c:multiLvlStrCache>
                <c:ptCount val="21"/>
                <c:lvl>
                  <c:pt idx="0">
                    <c:v>Argentina</c:v>
                  </c:pt>
                  <c:pt idx="1">
                    <c:v>Brazil</c:v>
                  </c:pt>
                  <c:pt idx="2">
                    <c:v>Chicaco</c:v>
                  </c:pt>
                  <c:pt idx="3">
                    <c:v>Chile</c:v>
                  </c:pt>
                  <c:pt idx="4">
                    <c:v>Columbia</c:v>
                  </c:pt>
                  <c:pt idx="5">
                    <c:v>Los Angeles</c:v>
                  </c:pt>
                  <c:pt idx="6">
                    <c:v>Peru</c:v>
                  </c:pt>
                  <c:pt idx="7">
                    <c:v>Argentina</c:v>
                  </c:pt>
                  <c:pt idx="8">
                    <c:v>Brazil</c:v>
                  </c:pt>
                  <c:pt idx="9">
                    <c:v>Chicaco</c:v>
                  </c:pt>
                  <c:pt idx="10">
                    <c:v>Chile</c:v>
                  </c:pt>
                  <c:pt idx="11">
                    <c:v>Columbia</c:v>
                  </c:pt>
                  <c:pt idx="12">
                    <c:v>Los Angeles</c:v>
                  </c:pt>
                  <c:pt idx="13">
                    <c:v>Peru</c:v>
                  </c:pt>
                  <c:pt idx="14">
                    <c:v>Argentina</c:v>
                  </c:pt>
                  <c:pt idx="15">
                    <c:v>Brazil</c:v>
                  </c:pt>
                  <c:pt idx="16">
                    <c:v>Chicaco</c:v>
                  </c:pt>
                  <c:pt idx="17">
                    <c:v>Chile</c:v>
                  </c:pt>
                  <c:pt idx="18">
                    <c:v>Columbia</c:v>
                  </c:pt>
                  <c:pt idx="19">
                    <c:v>Los Angeles</c:v>
                  </c:pt>
                  <c:pt idx="20">
                    <c:v>Peru</c:v>
                  </c:pt>
                </c:lvl>
                <c:lvl>
                  <c:pt idx="0">
                    <c:v>Quarter 1</c:v>
                  </c:pt>
                  <c:pt idx="7">
                    <c:v>Quarter 2</c:v>
                  </c:pt>
                  <c:pt idx="14">
                    <c:v>Quarter 3</c:v>
                  </c:pt>
                </c:lvl>
              </c:multiLvlStrCache>
            </c:multiLvlStrRef>
          </c:cat>
          <c:val>
            <c:numRef>
              <c:f>Sheet3!$B$4:$B$28</c:f>
              <c:numCache>
                <c:formatCode>_-* #,##0_-;\-* #,##0_-;_-* "-"??_-;_-@</c:formatCode>
                <c:ptCount val="21"/>
                <c:pt idx="0">
                  <c:v>18571.428571428572</c:v>
                </c:pt>
                <c:pt idx="1">
                  <c:v>27071.428571428572</c:v>
                </c:pt>
                <c:pt idx="2">
                  <c:v>11571.428571428571</c:v>
                </c:pt>
                <c:pt idx="3">
                  <c:v>13571.428571428571</c:v>
                </c:pt>
                <c:pt idx="4">
                  <c:v>20571.428571428572</c:v>
                </c:pt>
                <c:pt idx="5">
                  <c:v>15071.428571428571</c:v>
                </c:pt>
                <c:pt idx="6">
                  <c:v>28571.428571428572</c:v>
                </c:pt>
                <c:pt idx="7">
                  <c:v>33571.428571428572</c:v>
                </c:pt>
                <c:pt idx="8">
                  <c:v>33571.428571428572</c:v>
                </c:pt>
                <c:pt idx="9">
                  <c:v>33571.428571428572</c:v>
                </c:pt>
                <c:pt idx="10">
                  <c:v>33571.428571428572</c:v>
                </c:pt>
                <c:pt idx="11">
                  <c:v>33571.428571428572</c:v>
                </c:pt>
                <c:pt idx="12">
                  <c:v>33571.428571428572</c:v>
                </c:pt>
                <c:pt idx="13">
                  <c:v>33571.428571428572</c:v>
                </c:pt>
                <c:pt idx="14">
                  <c:v>54991.528571428571</c:v>
                </c:pt>
                <c:pt idx="15">
                  <c:v>54991.528571428571</c:v>
                </c:pt>
                <c:pt idx="16">
                  <c:v>54991.528571428571</c:v>
                </c:pt>
                <c:pt idx="17">
                  <c:v>54991.528571428571</c:v>
                </c:pt>
                <c:pt idx="18">
                  <c:v>54991.528571428571</c:v>
                </c:pt>
                <c:pt idx="19">
                  <c:v>54991.528571428571</c:v>
                </c:pt>
                <c:pt idx="20">
                  <c:v>54991.528571428571</c:v>
                </c:pt>
              </c:numCache>
            </c:numRef>
          </c:val>
          <c:extLst>
            <c:ext xmlns:c16="http://schemas.microsoft.com/office/drawing/2014/chart" uri="{C3380CC4-5D6E-409C-BE32-E72D297353CC}">
              <c16:uniqueId val="{00000001-B5CC-4AD8-B905-A403CBFBBB0E}"/>
            </c:ext>
          </c:extLst>
        </c:ser>
        <c:dLbls>
          <c:showLegendKey val="0"/>
          <c:showVal val="0"/>
          <c:showCatName val="0"/>
          <c:showSerName val="0"/>
          <c:showPercent val="0"/>
          <c:showBubbleSize val="0"/>
        </c:dLbls>
        <c:gapWidth val="150"/>
        <c:shape val="box"/>
        <c:axId val="642544160"/>
        <c:axId val="642542720"/>
        <c:axId val="0"/>
      </c:bar3DChart>
      <c:catAx>
        <c:axId val="642544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42720"/>
        <c:crosses val="autoZero"/>
        <c:auto val="1"/>
        <c:lblAlgn val="ctr"/>
        <c:lblOffset val="100"/>
        <c:noMultiLvlLbl val="0"/>
      </c:catAx>
      <c:valAx>
        <c:axId val="6425427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4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Dashboards.xlsx]Sheet3!PivotTable2</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solidFill>
              <a:schemeClr val="accent1"/>
            </a:solidFill>
            <a:ln>
              <a:noFill/>
            </a:ln>
            <a:effectLst/>
            <a:sp3d/>
          </c:spPr>
          <c:invertIfNegative val="0"/>
          <c:cat>
            <c:multiLvlStrRef>
              <c:f>Sheet3!$A$4:$A$28</c:f>
              <c:multiLvlStrCache>
                <c:ptCount val="21"/>
                <c:lvl>
                  <c:pt idx="0">
                    <c:v>Argentina</c:v>
                  </c:pt>
                  <c:pt idx="1">
                    <c:v>Brazil</c:v>
                  </c:pt>
                  <c:pt idx="2">
                    <c:v>Chicaco</c:v>
                  </c:pt>
                  <c:pt idx="3">
                    <c:v>Chile</c:v>
                  </c:pt>
                  <c:pt idx="4">
                    <c:v>Columbia</c:v>
                  </c:pt>
                  <c:pt idx="5">
                    <c:v>Los Angeles</c:v>
                  </c:pt>
                  <c:pt idx="6">
                    <c:v>Peru</c:v>
                  </c:pt>
                  <c:pt idx="7">
                    <c:v>Argentina</c:v>
                  </c:pt>
                  <c:pt idx="8">
                    <c:v>Brazil</c:v>
                  </c:pt>
                  <c:pt idx="9">
                    <c:v>Chicaco</c:v>
                  </c:pt>
                  <c:pt idx="10">
                    <c:v>Chile</c:v>
                  </c:pt>
                  <c:pt idx="11">
                    <c:v>Columbia</c:v>
                  </c:pt>
                  <c:pt idx="12">
                    <c:v>Los Angeles</c:v>
                  </c:pt>
                  <c:pt idx="13">
                    <c:v>Peru</c:v>
                  </c:pt>
                  <c:pt idx="14">
                    <c:v>Argentina</c:v>
                  </c:pt>
                  <c:pt idx="15">
                    <c:v>Brazil</c:v>
                  </c:pt>
                  <c:pt idx="16">
                    <c:v>Chicaco</c:v>
                  </c:pt>
                  <c:pt idx="17">
                    <c:v>Chile</c:v>
                  </c:pt>
                  <c:pt idx="18">
                    <c:v>Columbia</c:v>
                  </c:pt>
                  <c:pt idx="19">
                    <c:v>Los Angeles</c:v>
                  </c:pt>
                  <c:pt idx="20">
                    <c:v>Peru</c:v>
                  </c:pt>
                </c:lvl>
                <c:lvl>
                  <c:pt idx="0">
                    <c:v>Quarter 1</c:v>
                  </c:pt>
                  <c:pt idx="7">
                    <c:v>Quarter 2</c:v>
                  </c:pt>
                  <c:pt idx="14">
                    <c:v>Quarter 3</c:v>
                  </c:pt>
                </c:lvl>
              </c:multiLvlStrCache>
            </c:multiLvlStrRef>
          </c:cat>
          <c:val>
            <c:numRef>
              <c:f>Sheet3!$B$4:$B$28</c:f>
              <c:numCache>
                <c:formatCode>_-* #,##0_-;\-* #,##0_-;_-* "-"??_-;_-@</c:formatCode>
                <c:ptCount val="21"/>
                <c:pt idx="0">
                  <c:v>18571.428571428572</c:v>
                </c:pt>
                <c:pt idx="1">
                  <c:v>27071.428571428572</c:v>
                </c:pt>
                <c:pt idx="2">
                  <c:v>11571.428571428571</c:v>
                </c:pt>
                <c:pt idx="3">
                  <c:v>13571.428571428571</c:v>
                </c:pt>
                <c:pt idx="4">
                  <c:v>20571.428571428572</c:v>
                </c:pt>
                <c:pt idx="5">
                  <c:v>15071.428571428571</c:v>
                </c:pt>
                <c:pt idx="6">
                  <c:v>28571.428571428572</c:v>
                </c:pt>
                <c:pt idx="7">
                  <c:v>33571.428571428572</c:v>
                </c:pt>
                <c:pt idx="8">
                  <c:v>33571.428571428572</c:v>
                </c:pt>
                <c:pt idx="9">
                  <c:v>33571.428571428572</c:v>
                </c:pt>
                <c:pt idx="10">
                  <c:v>33571.428571428572</c:v>
                </c:pt>
                <c:pt idx="11">
                  <c:v>33571.428571428572</c:v>
                </c:pt>
                <c:pt idx="12">
                  <c:v>33571.428571428572</c:v>
                </c:pt>
                <c:pt idx="13">
                  <c:v>33571.428571428572</c:v>
                </c:pt>
                <c:pt idx="14">
                  <c:v>54991.528571428571</c:v>
                </c:pt>
                <c:pt idx="15">
                  <c:v>54991.528571428571</c:v>
                </c:pt>
                <c:pt idx="16">
                  <c:v>54991.528571428571</c:v>
                </c:pt>
                <c:pt idx="17">
                  <c:v>54991.528571428571</c:v>
                </c:pt>
                <c:pt idx="18">
                  <c:v>54991.528571428571</c:v>
                </c:pt>
                <c:pt idx="19">
                  <c:v>54991.528571428571</c:v>
                </c:pt>
                <c:pt idx="20">
                  <c:v>54991.528571428571</c:v>
                </c:pt>
              </c:numCache>
            </c:numRef>
          </c:val>
          <c:extLst>
            <c:ext xmlns:c16="http://schemas.microsoft.com/office/drawing/2014/chart" uri="{C3380CC4-5D6E-409C-BE32-E72D297353CC}">
              <c16:uniqueId val="{00000001-A0CE-40C1-B120-CA39FB291425}"/>
            </c:ext>
          </c:extLst>
        </c:ser>
        <c:dLbls>
          <c:showLegendKey val="0"/>
          <c:showVal val="0"/>
          <c:showCatName val="0"/>
          <c:showSerName val="0"/>
          <c:showPercent val="0"/>
          <c:showBubbleSize val="0"/>
        </c:dLbls>
        <c:gapWidth val="150"/>
        <c:shape val="box"/>
        <c:axId val="633656480"/>
        <c:axId val="633656960"/>
        <c:axId val="0"/>
      </c:bar3DChart>
      <c:catAx>
        <c:axId val="633656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56960"/>
        <c:crosses val="autoZero"/>
        <c:auto val="1"/>
        <c:lblAlgn val="ctr"/>
        <c:lblOffset val="100"/>
        <c:noMultiLvlLbl val="0"/>
      </c:catAx>
      <c:valAx>
        <c:axId val="633656960"/>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5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Dashboards.xlsx]Sheet3!PivotTable2</c:name>
    <c:fmtId val="5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Sheet3!$A$4:$A$28</c:f>
              <c:multiLvlStrCache>
                <c:ptCount val="21"/>
                <c:lvl>
                  <c:pt idx="0">
                    <c:v>Argentina</c:v>
                  </c:pt>
                  <c:pt idx="1">
                    <c:v>Brazil</c:v>
                  </c:pt>
                  <c:pt idx="2">
                    <c:v>Chicaco</c:v>
                  </c:pt>
                  <c:pt idx="3">
                    <c:v>Chile</c:v>
                  </c:pt>
                  <c:pt idx="4">
                    <c:v>Columbia</c:v>
                  </c:pt>
                  <c:pt idx="5">
                    <c:v>Los Angeles</c:v>
                  </c:pt>
                  <c:pt idx="6">
                    <c:v>Peru</c:v>
                  </c:pt>
                  <c:pt idx="7">
                    <c:v>Argentina</c:v>
                  </c:pt>
                  <c:pt idx="8">
                    <c:v>Brazil</c:v>
                  </c:pt>
                  <c:pt idx="9">
                    <c:v>Chicaco</c:v>
                  </c:pt>
                  <c:pt idx="10">
                    <c:v>Chile</c:v>
                  </c:pt>
                  <c:pt idx="11">
                    <c:v>Columbia</c:v>
                  </c:pt>
                  <c:pt idx="12">
                    <c:v>Los Angeles</c:v>
                  </c:pt>
                  <c:pt idx="13">
                    <c:v>Peru</c:v>
                  </c:pt>
                  <c:pt idx="14">
                    <c:v>Argentina</c:v>
                  </c:pt>
                  <c:pt idx="15">
                    <c:v>Brazil</c:v>
                  </c:pt>
                  <c:pt idx="16">
                    <c:v>Chicaco</c:v>
                  </c:pt>
                  <c:pt idx="17">
                    <c:v>Chile</c:v>
                  </c:pt>
                  <c:pt idx="18">
                    <c:v>Columbia</c:v>
                  </c:pt>
                  <c:pt idx="19">
                    <c:v>Los Angeles</c:v>
                  </c:pt>
                  <c:pt idx="20">
                    <c:v>Peru</c:v>
                  </c:pt>
                </c:lvl>
                <c:lvl>
                  <c:pt idx="0">
                    <c:v>Quarter 1</c:v>
                  </c:pt>
                  <c:pt idx="7">
                    <c:v>Quarter 2</c:v>
                  </c:pt>
                  <c:pt idx="14">
                    <c:v>Quarter 3</c:v>
                  </c:pt>
                </c:lvl>
              </c:multiLvlStrCache>
            </c:multiLvlStrRef>
          </c:cat>
          <c:val>
            <c:numRef>
              <c:f>Sheet3!$B$4:$B$28</c:f>
              <c:numCache>
                <c:formatCode>_-* #,##0_-;\-* #,##0_-;_-* "-"??_-;_-@</c:formatCode>
                <c:ptCount val="21"/>
                <c:pt idx="0">
                  <c:v>18571.428571428572</c:v>
                </c:pt>
                <c:pt idx="1">
                  <c:v>27071.428571428572</c:v>
                </c:pt>
                <c:pt idx="2">
                  <c:v>11571.428571428571</c:v>
                </c:pt>
                <c:pt idx="3">
                  <c:v>13571.428571428571</c:v>
                </c:pt>
                <c:pt idx="4">
                  <c:v>20571.428571428572</c:v>
                </c:pt>
                <c:pt idx="5">
                  <c:v>15071.428571428571</c:v>
                </c:pt>
                <c:pt idx="6">
                  <c:v>28571.428571428572</c:v>
                </c:pt>
                <c:pt idx="7">
                  <c:v>33571.428571428572</c:v>
                </c:pt>
                <c:pt idx="8">
                  <c:v>33571.428571428572</c:v>
                </c:pt>
                <c:pt idx="9">
                  <c:v>33571.428571428572</c:v>
                </c:pt>
                <c:pt idx="10">
                  <c:v>33571.428571428572</c:v>
                </c:pt>
                <c:pt idx="11">
                  <c:v>33571.428571428572</c:v>
                </c:pt>
                <c:pt idx="12">
                  <c:v>33571.428571428572</c:v>
                </c:pt>
                <c:pt idx="13">
                  <c:v>33571.428571428572</c:v>
                </c:pt>
                <c:pt idx="14">
                  <c:v>54991.528571428571</c:v>
                </c:pt>
                <c:pt idx="15">
                  <c:v>54991.528571428571</c:v>
                </c:pt>
                <c:pt idx="16">
                  <c:v>54991.528571428571</c:v>
                </c:pt>
                <c:pt idx="17">
                  <c:v>54991.528571428571</c:v>
                </c:pt>
                <c:pt idx="18">
                  <c:v>54991.528571428571</c:v>
                </c:pt>
                <c:pt idx="19">
                  <c:v>54991.528571428571</c:v>
                </c:pt>
                <c:pt idx="20">
                  <c:v>54991.528571428571</c:v>
                </c:pt>
              </c:numCache>
            </c:numRef>
          </c:val>
          <c:smooth val="0"/>
          <c:extLst>
            <c:ext xmlns:c16="http://schemas.microsoft.com/office/drawing/2014/chart" uri="{C3380CC4-5D6E-409C-BE32-E72D297353CC}">
              <c16:uniqueId val="{00000001-5780-49DC-A3C0-631DF0881CAC}"/>
            </c:ext>
          </c:extLst>
        </c:ser>
        <c:dLbls>
          <c:showLegendKey val="0"/>
          <c:showVal val="0"/>
          <c:showCatName val="0"/>
          <c:showSerName val="0"/>
          <c:showPercent val="0"/>
          <c:showBubbleSize val="0"/>
        </c:dLbls>
        <c:marker val="1"/>
        <c:smooth val="0"/>
        <c:axId val="561062832"/>
        <c:axId val="561063312"/>
      </c:lineChart>
      <c:catAx>
        <c:axId val="56106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63312"/>
        <c:crosses val="autoZero"/>
        <c:auto val="1"/>
        <c:lblAlgn val="ctr"/>
        <c:lblOffset val="100"/>
        <c:noMultiLvlLbl val="0"/>
      </c:catAx>
      <c:valAx>
        <c:axId val="5610633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6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emf"/><Relationship Id="rId7"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emf"/><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18</xdr:col>
      <xdr:colOff>188169</xdr:colOff>
      <xdr:row>17</xdr:row>
      <xdr:rowOff>83217</xdr:rowOff>
    </xdr:from>
    <xdr:to>
      <xdr:col>51</xdr:col>
      <xdr:colOff>202601</xdr:colOff>
      <xdr:row>71</xdr:row>
      <xdr:rowOff>553</xdr:rowOff>
    </xdr:to>
    <xdr:sp macro="" textlink="">
      <xdr:nvSpPr>
        <xdr:cNvPr id="2" name="Rectangle: Rounded Corners 1">
          <a:extLst>
            <a:ext uri="{FF2B5EF4-FFF2-40B4-BE49-F238E27FC236}">
              <a16:creationId xmlns:a16="http://schemas.microsoft.com/office/drawing/2014/main" id="{F2BDBCB4-5518-9D2E-87F0-69A3E819AA12}"/>
            </a:ext>
          </a:extLst>
        </xdr:cNvPr>
        <xdr:cNvSpPr/>
      </xdr:nvSpPr>
      <xdr:spPr>
        <a:xfrm>
          <a:off x="12387496" y="3508554"/>
          <a:ext cx="22379865" cy="10797816"/>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36634</xdr:colOff>
      <xdr:row>18</xdr:row>
      <xdr:rowOff>109904</xdr:rowOff>
    </xdr:from>
    <xdr:to>
      <xdr:col>29</xdr:col>
      <xdr:colOff>36635</xdr:colOff>
      <xdr:row>25</xdr:row>
      <xdr:rowOff>18317</xdr:rowOff>
    </xdr:to>
    <xdr:sp macro="" textlink="">
      <xdr:nvSpPr>
        <xdr:cNvPr id="3" name="Rectangle: Rounded Corners 2">
          <a:extLst>
            <a:ext uri="{FF2B5EF4-FFF2-40B4-BE49-F238E27FC236}">
              <a16:creationId xmlns:a16="http://schemas.microsoft.com/office/drawing/2014/main" id="{D3FD78C5-82B1-F9ED-4489-B02671F61D50}"/>
            </a:ext>
          </a:extLst>
        </xdr:cNvPr>
        <xdr:cNvSpPr/>
      </xdr:nvSpPr>
      <xdr:spPr>
        <a:xfrm>
          <a:off x="13591442" y="3736731"/>
          <a:ext cx="6099664" cy="131884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6600"/>
            <a:t>Sales Dashboard</a:t>
          </a:r>
        </a:p>
      </xdr:txBody>
    </xdr:sp>
    <xdr:clientData/>
  </xdr:twoCellAnchor>
  <xdr:twoCellAnchor editAs="oneCell">
    <xdr:from>
      <xdr:col>6</xdr:col>
      <xdr:colOff>0</xdr:colOff>
      <xdr:row>7</xdr:row>
      <xdr:rowOff>0</xdr:rowOff>
    </xdr:from>
    <xdr:to>
      <xdr:col>7</xdr:col>
      <xdr:colOff>219075</xdr:colOff>
      <xdr:row>8</xdr:row>
      <xdr:rowOff>9525</xdr:rowOff>
    </xdr:to>
    <xdr:pic>
      <xdr:nvPicPr>
        <xdr:cNvPr id="7" name="Picture 6">
          <a:extLst>
            <a:ext uri="{FF2B5EF4-FFF2-40B4-BE49-F238E27FC236}">
              <a16:creationId xmlns:a16="http://schemas.microsoft.com/office/drawing/2014/main" id="{AFB51A57-A498-F01F-17E4-DFC105A3A0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14800" y="1400175"/>
          <a:ext cx="904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7</xdr:col>
      <xdr:colOff>219075</xdr:colOff>
      <xdr:row>8</xdr:row>
      <xdr:rowOff>9525</xdr:rowOff>
    </xdr:to>
    <xdr:pic>
      <xdr:nvPicPr>
        <xdr:cNvPr id="8" name="Picture 7">
          <a:extLst>
            <a:ext uri="{FF2B5EF4-FFF2-40B4-BE49-F238E27FC236}">
              <a16:creationId xmlns:a16="http://schemas.microsoft.com/office/drawing/2014/main" id="{A62B6FA1-E290-3C0E-6E63-6C0567B1D4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1400175"/>
          <a:ext cx="904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7</xdr:col>
      <xdr:colOff>219075</xdr:colOff>
      <xdr:row>8</xdr:row>
      <xdr:rowOff>9525</xdr:rowOff>
    </xdr:to>
    <xdr:pic>
      <xdr:nvPicPr>
        <xdr:cNvPr id="9" name="Picture 8">
          <a:extLst>
            <a:ext uri="{FF2B5EF4-FFF2-40B4-BE49-F238E27FC236}">
              <a16:creationId xmlns:a16="http://schemas.microsoft.com/office/drawing/2014/main" id="{0E6FE5C9-E971-A8E1-0211-9D1B2D6B61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1400175"/>
          <a:ext cx="904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7</xdr:col>
      <xdr:colOff>219075</xdr:colOff>
      <xdr:row>8</xdr:row>
      <xdr:rowOff>9525</xdr:rowOff>
    </xdr:to>
    <xdr:pic>
      <xdr:nvPicPr>
        <xdr:cNvPr id="10" name="Picture 9">
          <a:extLst>
            <a:ext uri="{FF2B5EF4-FFF2-40B4-BE49-F238E27FC236}">
              <a16:creationId xmlns:a16="http://schemas.microsoft.com/office/drawing/2014/main" id="{65BF52F8-EAD6-5471-69D5-8374C73AAC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1400175"/>
          <a:ext cx="904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7</xdr:col>
      <xdr:colOff>219075</xdr:colOff>
      <xdr:row>8</xdr:row>
      <xdr:rowOff>9525</xdr:rowOff>
    </xdr:to>
    <xdr:pic>
      <xdr:nvPicPr>
        <xdr:cNvPr id="11" name="Picture 10">
          <a:extLst>
            <a:ext uri="{FF2B5EF4-FFF2-40B4-BE49-F238E27FC236}">
              <a16:creationId xmlns:a16="http://schemas.microsoft.com/office/drawing/2014/main" id="{E92810EF-DBAB-1D32-D211-28B153DDEF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1400175"/>
          <a:ext cx="904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7</xdr:col>
      <xdr:colOff>219075</xdr:colOff>
      <xdr:row>8</xdr:row>
      <xdr:rowOff>9525</xdr:rowOff>
    </xdr:to>
    <xdr:pic>
      <xdr:nvPicPr>
        <xdr:cNvPr id="12" name="Picture 11">
          <a:extLst>
            <a:ext uri="{FF2B5EF4-FFF2-40B4-BE49-F238E27FC236}">
              <a16:creationId xmlns:a16="http://schemas.microsoft.com/office/drawing/2014/main" id="{16262DC8-3CB6-36FC-BFA7-4011951BF4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1400175"/>
          <a:ext cx="904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7</xdr:col>
      <xdr:colOff>219075</xdr:colOff>
      <xdr:row>8</xdr:row>
      <xdr:rowOff>9525</xdr:rowOff>
    </xdr:to>
    <xdr:pic>
      <xdr:nvPicPr>
        <xdr:cNvPr id="13" name="Picture 12">
          <a:extLst>
            <a:ext uri="{FF2B5EF4-FFF2-40B4-BE49-F238E27FC236}">
              <a16:creationId xmlns:a16="http://schemas.microsoft.com/office/drawing/2014/main" id="{1B6746AA-1C25-C921-D313-E2D12E7A20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1400175"/>
          <a:ext cx="904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7</xdr:col>
      <xdr:colOff>200025</xdr:colOff>
      <xdr:row>8</xdr:row>
      <xdr:rowOff>9525</xdr:rowOff>
    </xdr:to>
    <xdr:pic>
      <xdr:nvPicPr>
        <xdr:cNvPr id="14" name="Picture 13">
          <a:extLst>
            <a:ext uri="{FF2B5EF4-FFF2-40B4-BE49-F238E27FC236}">
              <a16:creationId xmlns:a16="http://schemas.microsoft.com/office/drawing/2014/main" id="{D4567E80-B5E0-53BE-B216-CDCACC32044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1400175"/>
          <a:ext cx="8858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7</xdr:col>
      <xdr:colOff>200025</xdr:colOff>
      <xdr:row>8</xdr:row>
      <xdr:rowOff>9525</xdr:rowOff>
    </xdr:to>
    <xdr:pic>
      <xdr:nvPicPr>
        <xdr:cNvPr id="15" name="Picture 14">
          <a:extLst>
            <a:ext uri="{FF2B5EF4-FFF2-40B4-BE49-F238E27FC236}">
              <a16:creationId xmlns:a16="http://schemas.microsoft.com/office/drawing/2014/main" id="{C586DFE1-F4CE-90C2-C1C9-9E6B9C6EA68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14800" y="1400175"/>
          <a:ext cx="8858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604473</xdr:colOff>
      <xdr:row>26</xdr:row>
      <xdr:rowOff>164856</xdr:rowOff>
    </xdr:from>
    <xdr:to>
      <xdr:col>50</xdr:col>
      <xdr:colOff>109906</xdr:colOff>
      <xdr:row>38</xdr:row>
      <xdr:rowOff>73269</xdr:rowOff>
    </xdr:to>
    <xdr:sp macro="" textlink="">
      <xdr:nvSpPr>
        <xdr:cNvPr id="19" name="Rectangle: Rounded Corners 18">
          <a:extLst>
            <a:ext uri="{FF2B5EF4-FFF2-40B4-BE49-F238E27FC236}">
              <a16:creationId xmlns:a16="http://schemas.microsoft.com/office/drawing/2014/main" id="{7C58EA3E-0397-79A4-8669-6F070C842AEC}"/>
            </a:ext>
          </a:extLst>
        </xdr:cNvPr>
        <xdr:cNvSpPr/>
      </xdr:nvSpPr>
      <xdr:spPr>
        <a:xfrm>
          <a:off x="13481540" y="5403606"/>
          <a:ext cx="20515385" cy="232629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28</xdr:col>
      <xdr:colOff>457933</xdr:colOff>
      <xdr:row>29</xdr:row>
      <xdr:rowOff>18318</xdr:rowOff>
    </xdr:from>
    <xdr:to>
      <xdr:col>32</xdr:col>
      <xdr:colOff>293077</xdr:colOff>
      <xdr:row>36</xdr:row>
      <xdr:rowOff>109905</xdr:rowOff>
    </xdr:to>
    <xdr:sp macro="" textlink="">
      <xdr:nvSpPr>
        <xdr:cNvPr id="17" name="Rectangle 16">
          <a:extLst>
            <a:ext uri="{FF2B5EF4-FFF2-40B4-BE49-F238E27FC236}">
              <a16:creationId xmlns:a16="http://schemas.microsoft.com/office/drawing/2014/main" id="{CAA269CE-1989-1EFF-F042-60699CFD4C6A}"/>
            </a:ext>
          </a:extLst>
        </xdr:cNvPr>
        <xdr:cNvSpPr/>
      </xdr:nvSpPr>
      <xdr:spPr>
        <a:xfrm>
          <a:off x="19434664" y="5861539"/>
          <a:ext cx="2546105" cy="15020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3600"/>
            <a:t>Avg Sales</a:t>
          </a:r>
        </a:p>
        <a:p>
          <a:pPr algn="l"/>
          <a:r>
            <a:rPr lang="en-US" sz="3600" b="0" i="0" u="none" strike="noStrike">
              <a:solidFill>
                <a:schemeClr val="dk1"/>
              </a:solidFill>
              <a:effectLst/>
              <a:latin typeface="+mn-lt"/>
              <a:ea typeface="+mn-ea"/>
              <a:cs typeface="+mn-cs"/>
            </a:rPr>
            <a:t>11,983 </a:t>
          </a:r>
          <a:endParaRPr lang="en-US" sz="3600"/>
        </a:p>
      </xdr:txBody>
    </xdr:sp>
    <xdr:clientData/>
  </xdr:twoCellAnchor>
  <xdr:twoCellAnchor>
    <xdr:from>
      <xdr:col>20</xdr:col>
      <xdr:colOff>659421</xdr:colOff>
      <xdr:row>29</xdr:row>
      <xdr:rowOff>36633</xdr:rowOff>
    </xdr:from>
    <xdr:to>
      <xdr:col>24</xdr:col>
      <xdr:colOff>476248</xdr:colOff>
      <xdr:row>35</xdr:row>
      <xdr:rowOff>183172</xdr:rowOff>
    </xdr:to>
    <xdr:sp macro="" textlink="">
      <xdr:nvSpPr>
        <xdr:cNvPr id="4" name="Rectangle 3">
          <a:extLst>
            <a:ext uri="{FF2B5EF4-FFF2-40B4-BE49-F238E27FC236}">
              <a16:creationId xmlns:a16="http://schemas.microsoft.com/office/drawing/2014/main" id="{250E070F-ABE9-C2B6-E578-A0387503F9C2}"/>
            </a:ext>
          </a:extLst>
        </xdr:cNvPr>
        <xdr:cNvSpPr/>
      </xdr:nvSpPr>
      <xdr:spPr>
        <a:xfrm>
          <a:off x="14214229" y="5879854"/>
          <a:ext cx="2527788" cy="135548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3600">
              <a:solidFill>
                <a:schemeClr val="tx1"/>
              </a:solidFill>
            </a:rPr>
            <a:t>Total</a:t>
          </a:r>
          <a:r>
            <a:rPr lang="en-US" sz="3600" baseline="0">
              <a:solidFill>
                <a:schemeClr val="tx1"/>
              </a:solidFill>
            </a:rPr>
            <a:t> Sales</a:t>
          </a:r>
        </a:p>
        <a:p>
          <a:pPr algn="l"/>
          <a:r>
            <a:rPr lang="en-US" sz="3600">
              <a:solidFill>
                <a:schemeClr val="tx1"/>
              </a:solidFill>
            </a:rPr>
            <a:t>754,941</a:t>
          </a:r>
        </a:p>
      </xdr:txBody>
    </xdr:sp>
    <xdr:clientData/>
  </xdr:twoCellAnchor>
  <xdr:twoCellAnchor>
    <xdr:from>
      <xdr:col>41</xdr:col>
      <xdr:colOff>91588</xdr:colOff>
      <xdr:row>27</xdr:row>
      <xdr:rowOff>109905</xdr:rowOff>
    </xdr:from>
    <xdr:to>
      <xdr:col>45</xdr:col>
      <xdr:colOff>622791</xdr:colOff>
      <xdr:row>37</xdr:row>
      <xdr:rowOff>73269</xdr:rowOff>
    </xdr:to>
    <xdr:sp macro="" textlink="">
      <xdr:nvSpPr>
        <xdr:cNvPr id="6" name="Rectangle 5">
          <a:extLst>
            <a:ext uri="{FF2B5EF4-FFF2-40B4-BE49-F238E27FC236}">
              <a16:creationId xmlns:a16="http://schemas.microsoft.com/office/drawing/2014/main" id="{12F6A971-4B4B-56DD-CB2B-C187202CC293}"/>
            </a:ext>
          </a:extLst>
        </xdr:cNvPr>
        <xdr:cNvSpPr/>
      </xdr:nvSpPr>
      <xdr:spPr>
        <a:xfrm>
          <a:off x="27878944" y="5550145"/>
          <a:ext cx="3242164" cy="197826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3600">
              <a:solidFill>
                <a:schemeClr val="tx1"/>
              </a:solidFill>
            </a:rPr>
            <a:t>Number of Customer</a:t>
          </a:r>
        </a:p>
        <a:p>
          <a:pPr algn="ctr"/>
          <a:r>
            <a:rPr lang="en-US" sz="4000" b="0" i="0" u="none" strike="noStrike">
              <a:solidFill>
                <a:schemeClr val="tx1"/>
              </a:solidFill>
              <a:effectLst/>
              <a:latin typeface="+mn-lt"/>
              <a:ea typeface="+mn-ea"/>
              <a:cs typeface="+mn-cs"/>
            </a:rPr>
            <a:t>9,360</a:t>
          </a:r>
        </a:p>
        <a:p>
          <a:pPr algn="l"/>
          <a:endParaRPr lang="en-US" sz="3600"/>
        </a:p>
      </xdr:txBody>
    </xdr:sp>
    <xdr:clientData/>
  </xdr:twoCellAnchor>
  <xdr:twoCellAnchor>
    <xdr:from>
      <xdr:col>20</xdr:col>
      <xdr:colOff>476251</xdr:colOff>
      <xdr:row>54</xdr:row>
      <xdr:rowOff>18317</xdr:rowOff>
    </xdr:from>
    <xdr:to>
      <xdr:col>25</xdr:col>
      <xdr:colOff>183174</xdr:colOff>
      <xdr:row>61</xdr:row>
      <xdr:rowOff>36634</xdr:rowOff>
    </xdr:to>
    <xdr:sp macro="" textlink="">
      <xdr:nvSpPr>
        <xdr:cNvPr id="16" name="Rectangle 15">
          <a:extLst>
            <a:ext uri="{FF2B5EF4-FFF2-40B4-BE49-F238E27FC236}">
              <a16:creationId xmlns:a16="http://schemas.microsoft.com/office/drawing/2014/main" id="{BC9E218F-FB58-75D9-84FB-56575990A3D0}"/>
            </a:ext>
          </a:extLst>
        </xdr:cNvPr>
        <xdr:cNvSpPr/>
      </xdr:nvSpPr>
      <xdr:spPr>
        <a:xfrm>
          <a:off x="14031059" y="10898798"/>
          <a:ext cx="3095625" cy="14287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3600"/>
        </a:p>
      </xdr:txBody>
    </xdr:sp>
    <xdr:clientData/>
  </xdr:twoCellAnchor>
  <xdr:twoCellAnchor>
    <xdr:from>
      <xdr:col>33</xdr:col>
      <xdr:colOff>604471</xdr:colOff>
      <xdr:row>46</xdr:row>
      <xdr:rowOff>109904</xdr:rowOff>
    </xdr:from>
    <xdr:to>
      <xdr:col>39</xdr:col>
      <xdr:colOff>512885</xdr:colOff>
      <xdr:row>55</xdr:row>
      <xdr:rowOff>109904</xdr:rowOff>
    </xdr:to>
    <xdr:sp macro="" textlink="">
      <xdr:nvSpPr>
        <xdr:cNvPr id="21" name="Rectangle 20">
          <a:extLst>
            <a:ext uri="{FF2B5EF4-FFF2-40B4-BE49-F238E27FC236}">
              <a16:creationId xmlns:a16="http://schemas.microsoft.com/office/drawing/2014/main" id="{34B88E19-3848-386B-E6F3-94BDF66B92E2}"/>
            </a:ext>
          </a:extLst>
        </xdr:cNvPr>
        <xdr:cNvSpPr/>
      </xdr:nvSpPr>
      <xdr:spPr>
        <a:xfrm>
          <a:off x="22969904" y="9378462"/>
          <a:ext cx="3974856" cy="18134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30</xdr:col>
      <xdr:colOff>512884</xdr:colOff>
      <xdr:row>43</xdr:row>
      <xdr:rowOff>183173</xdr:rowOff>
    </xdr:from>
    <xdr:to>
      <xdr:col>37</xdr:col>
      <xdr:colOff>201491</xdr:colOff>
      <xdr:row>54</xdr:row>
      <xdr:rowOff>73269</xdr:rowOff>
    </xdr:to>
    <xdr:sp macro="" textlink="">
      <xdr:nvSpPr>
        <xdr:cNvPr id="23" name="Rectangle 22">
          <a:extLst>
            <a:ext uri="{FF2B5EF4-FFF2-40B4-BE49-F238E27FC236}">
              <a16:creationId xmlns:a16="http://schemas.microsoft.com/office/drawing/2014/main" id="{E9D2AE07-9B03-3FA7-9A33-D74B2330207D}"/>
            </a:ext>
          </a:extLst>
        </xdr:cNvPr>
        <xdr:cNvSpPr/>
      </xdr:nvSpPr>
      <xdr:spPr>
        <a:xfrm>
          <a:off x="20845096" y="8847260"/>
          <a:ext cx="4432789" cy="21064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35</xdr:col>
      <xdr:colOff>256443</xdr:colOff>
      <xdr:row>29</xdr:row>
      <xdr:rowOff>18319</xdr:rowOff>
    </xdr:from>
    <xdr:to>
      <xdr:col>38</xdr:col>
      <xdr:colOff>586154</xdr:colOff>
      <xdr:row>35</xdr:row>
      <xdr:rowOff>146541</xdr:rowOff>
    </xdr:to>
    <xdr:sp macro="" textlink="">
      <xdr:nvSpPr>
        <xdr:cNvPr id="24" name="Rectangle 23">
          <a:extLst>
            <a:ext uri="{FF2B5EF4-FFF2-40B4-BE49-F238E27FC236}">
              <a16:creationId xmlns:a16="http://schemas.microsoft.com/office/drawing/2014/main" id="{B8656781-60AB-8772-4491-97F036DF73EA}"/>
            </a:ext>
          </a:extLst>
        </xdr:cNvPr>
        <xdr:cNvSpPr/>
      </xdr:nvSpPr>
      <xdr:spPr>
        <a:xfrm>
          <a:off x="23977356" y="5861540"/>
          <a:ext cx="2362933" cy="133716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3600"/>
            <a:t>Profit</a:t>
          </a:r>
        </a:p>
        <a:p>
          <a:pPr algn="l"/>
          <a:r>
            <a:rPr lang="en-US" sz="3600"/>
            <a:t>891,111</a:t>
          </a:r>
        </a:p>
      </xdr:txBody>
    </xdr:sp>
    <xdr:clientData/>
  </xdr:twoCellAnchor>
  <xdr:twoCellAnchor>
    <xdr:from>
      <xdr:col>45</xdr:col>
      <xdr:colOff>421300</xdr:colOff>
      <xdr:row>27</xdr:row>
      <xdr:rowOff>36635</xdr:rowOff>
    </xdr:from>
    <xdr:to>
      <xdr:col>49</xdr:col>
      <xdr:colOff>586154</xdr:colOff>
      <xdr:row>38</xdr:row>
      <xdr:rowOff>36634</xdr:rowOff>
    </xdr:to>
    <xdr:graphicFrame macro="">
      <xdr:nvGraphicFramePr>
        <xdr:cNvPr id="25" name="Chart 24">
          <a:extLst>
            <a:ext uri="{FF2B5EF4-FFF2-40B4-BE49-F238E27FC236}">
              <a16:creationId xmlns:a16="http://schemas.microsoft.com/office/drawing/2014/main" id="{DF0C3390-4F4A-4015-851B-7DA035611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109905</xdr:colOff>
      <xdr:row>27</xdr:row>
      <xdr:rowOff>36635</xdr:rowOff>
    </xdr:from>
    <xdr:to>
      <xdr:col>28</xdr:col>
      <xdr:colOff>238124</xdr:colOff>
      <xdr:row>37</xdr:row>
      <xdr:rowOff>128221</xdr:rowOff>
    </xdr:to>
    <xdr:graphicFrame macro="">
      <xdr:nvGraphicFramePr>
        <xdr:cNvPr id="26" name="Chart 25">
          <a:extLst>
            <a:ext uri="{FF2B5EF4-FFF2-40B4-BE49-F238E27FC236}">
              <a16:creationId xmlns:a16="http://schemas.microsoft.com/office/drawing/2014/main" id="{D347AC0A-75A8-4E1D-A28B-9F191D236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329712</xdr:colOff>
      <xdr:row>27</xdr:row>
      <xdr:rowOff>0</xdr:rowOff>
    </xdr:from>
    <xdr:to>
      <xdr:col>35</xdr:col>
      <xdr:colOff>238124</xdr:colOff>
      <xdr:row>37</xdr:row>
      <xdr:rowOff>183173</xdr:rowOff>
    </xdr:to>
    <xdr:graphicFrame macro="">
      <xdr:nvGraphicFramePr>
        <xdr:cNvPr id="27" name="Chart 26">
          <a:extLst>
            <a:ext uri="{FF2B5EF4-FFF2-40B4-BE49-F238E27FC236}">
              <a16:creationId xmlns:a16="http://schemas.microsoft.com/office/drawing/2014/main" id="{D54E783D-146E-453D-95BB-3E7775AEC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659424</xdr:colOff>
      <xdr:row>27</xdr:row>
      <xdr:rowOff>36635</xdr:rowOff>
    </xdr:from>
    <xdr:to>
      <xdr:col>41</xdr:col>
      <xdr:colOff>641105</xdr:colOff>
      <xdr:row>38</xdr:row>
      <xdr:rowOff>54952</xdr:rowOff>
    </xdr:to>
    <xdr:graphicFrame macro="">
      <xdr:nvGraphicFramePr>
        <xdr:cNvPr id="28" name="Chart 27">
          <a:extLst>
            <a:ext uri="{FF2B5EF4-FFF2-40B4-BE49-F238E27FC236}">
              <a16:creationId xmlns:a16="http://schemas.microsoft.com/office/drawing/2014/main" id="{66804DFA-49CD-4AAA-8952-07FC02D67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311395</xdr:colOff>
      <xdr:row>40</xdr:row>
      <xdr:rowOff>128221</xdr:rowOff>
    </xdr:from>
    <xdr:to>
      <xdr:col>29</xdr:col>
      <xdr:colOff>164856</xdr:colOff>
      <xdr:row>67</xdr:row>
      <xdr:rowOff>146537</xdr:rowOff>
    </xdr:to>
    <xdr:graphicFrame macro="">
      <xdr:nvGraphicFramePr>
        <xdr:cNvPr id="29" name="Chart 28">
          <a:extLst>
            <a:ext uri="{FF2B5EF4-FFF2-40B4-BE49-F238E27FC236}">
              <a16:creationId xmlns:a16="http://schemas.microsoft.com/office/drawing/2014/main" id="{7BC69811-5A4B-47FE-B44E-563B3590E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219808</xdr:colOff>
      <xdr:row>40</xdr:row>
      <xdr:rowOff>28266</xdr:rowOff>
    </xdr:from>
    <xdr:to>
      <xdr:col>50</xdr:col>
      <xdr:colOff>54951</xdr:colOff>
      <xdr:row>68</xdr:row>
      <xdr:rowOff>91586</xdr:rowOff>
    </xdr:to>
    <xdr:graphicFrame macro="">
      <xdr:nvGraphicFramePr>
        <xdr:cNvPr id="30" name="Chart 29">
          <a:extLst>
            <a:ext uri="{FF2B5EF4-FFF2-40B4-BE49-F238E27FC236}">
              <a16:creationId xmlns:a16="http://schemas.microsoft.com/office/drawing/2014/main" id="{B4A61442-7685-439D-AD4E-3F419A0A0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384664</xdr:colOff>
      <xdr:row>40</xdr:row>
      <xdr:rowOff>9948</xdr:rowOff>
    </xdr:from>
    <xdr:to>
      <xdr:col>39</xdr:col>
      <xdr:colOff>73269</xdr:colOff>
      <xdr:row>67</xdr:row>
      <xdr:rowOff>18316</xdr:rowOff>
    </xdr:to>
    <xdr:graphicFrame macro="">
      <xdr:nvGraphicFramePr>
        <xdr:cNvPr id="31" name="Chart 30">
          <a:extLst>
            <a:ext uri="{FF2B5EF4-FFF2-40B4-BE49-F238E27FC236}">
              <a16:creationId xmlns:a16="http://schemas.microsoft.com/office/drawing/2014/main" id="{26DA9CB6-9125-49A2-B307-376763A9A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38</xdr:col>
      <xdr:colOff>20359</xdr:colOff>
      <xdr:row>19</xdr:row>
      <xdr:rowOff>43038</xdr:rowOff>
    </xdr:from>
    <xdr:to>
      <xdr:col>43</xdr:col>
      <xdr:colOff>168992</xdr:colOff>
      <xdr:row>26</xdr:row>
      <xdr:rowOff>4205</xdr:rowOff>
    </xdr:to>
    <mc:AlternateContent xmlns:mc="http://schemas.openxmlformats.org/markup-compatibility/2006" xmlns:tsle="http://schemas.microsoft.com/office/drawing/2012/timeslicer">
      <mc:Choice Requires="tsle">
        <xdr:graphicFrame macro="">
          <xdr:nvGraphicFramePr>
            <xdr:cNvPr id="34" name="Month 1">
              <a:extLst>
                <a:ext uri="{FF2B5EF4-FFF2-40B4-BE49-F238E27FC236}">
                  <a16:creationId xmlns:a16="http://schemas.microsoft.com/office/drawing/2014/main" id="{9FF1F3F5-19DA-48E4-A52B-F8D0850D4336}"/>
                </a:ext>
              </a:extLst>
            </xdr:cNvPr>
            <xdr:cNvGraphicFramePr/>
          </xdr:nvGraphicFramePr>
          <xdr:xfrm>
            <a:off x="0" y="0"/>
            <a:ext cx="0" cy="0"/>
          </xdr:xfrm>
          <a:graphic>
            <a:graphicData uri="http://schemas.microsoft.com/office/drawing/2012/timeslicer">
              <tsle:timeslicer name="Month 1"/>
            </a:graphicData>
          </a:graphic>
        </xdr:graphicFrame>
      </mc:Choice>
      <mc:Fallback xmlns="">
        <xdr:sp macro="" textlink="">
          <xdr:nvSpPr>
            <xdr:cNvPr id="0" name=""/>
            <xdr:cNvSpPr>
              <a:spLocks noTextEdit="1"/>
            </xdr:cNvSpPr>
          </xdr:nvSpPr>
          <xdr:spPr>
            <a:xfrm>
              <a:off x="26290924" y="3837675"/>
              <a:ext cx="3605286" cy="135919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33</xdr:col>
      <xdr:colOff>281529</xdr:colOff>
      <xdr:row>19</xdr:row>
      <xdr:rowOff>36537</xdr:rowOff>
    </xdr:from>
    <xdr:to>
      <xdr:col>37</xdr:col>
      <xdr:colOff>614516</xdr:colOff>
      <xdr:row>26</xdr:row>
      <xdr:rowOff>138266</xdr:rowOff>
    </xdr:to>
    <mc:AlternateContent xmlns:mc="http://schemas.openxmlformats.org/markup-compatibility/2006" xmlns:a14="http://schemas.microsoft.com/office/drawing/2010/main">
      <mc:Choice Requires="a14">
        <xdr:graphicFrame macro="">
          <xdr:nvGraphicFramePr>
            <xdr:cNvPr id="35" name="Region 1">
              <a:extLst>
                <a:ext uri="{FF2B5EF4-FFF2-40B4-BE49-F238E27FC236}">
                  <a16:creationId xmlns:a16="http://schemas.microsoft.com/office/drawing/2014/main" id="{351B0DDD-8778-43E8-B7E4-978FFFC767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095440" y="3831174"/>
              <a:ext cx="3098310" cy="1499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634875</xdr:colOff>
      <xdr:row>18</xdr:row>
      <xdr:rowOff>113353</xdr:rowOff>
    </xdr:from>
    <xdr:to>
      <xdr:col>32</xdr:col>
      <xdr:colOff>389683</xdr:colOff>
      <xdr:row>25</xdr:row>
      <xdr:rowOff>184354</xdr:rowOff>
    </xdr:to>
    <mc:AlternateContent xmlns:mc="http://schemas.openxmlformats.org/markup-compatibility/2006" xmlns:a14="http://schemas.microsoft.com/office/drawing/2010/main">
      <mc:Choice Requires="a14">
        <xdr:graphicFrame macro="">
          <xdr:nvGraphicFramePr>
            <xdr:cNvPr id="37" name="Quarter 2">
              <a:extLst>
                <a:ext uri="{FF2B5EF4-FFF2-40B4-BE49-F238E27FC236}">
                  <a16:creationId xmlns:a16="http://schemas.microsoft.com/office/drawing/2014/main" id="{C5E1AD19-DF34-4599-883E-EB8216B334BE}"/>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20683464" y="3708272"/>
              <a:ext cx="1828800" cy="1469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079.461484722226" createdVersion="8" refreshedVersion="8" minRefreshableVersion="3" recordCount="63" xr:uid="{D0FC034A-F596-414C-BA5E-50ADF5BC950C}">
  <cacheSource type="worksheet">
    <worksheetSource name="Table_1"/>
  </cacheSource>
  <cacheFields count="12">
    <cacheField name="Month" numFmtId="17">
      <sharedItems containsSemiMixedTypes="0" containsNonDate="0" containsDate="1" containsString="0" minDate="2023-01-01T00:00:00" maxDate="2023-09-02T00:00:00" count="9">
        <d v="2023-01-01T00:00:00"/>
        <d v="2023-02-01T00:00:00"/>
        <d v="2023-03-01T00:00:00"/>
        <d v="2023-04-01T00:00:00"/>
        <d v="2023-05-01T00:00:00"/>
        <d v="2023-06-01T00:00:00"/>
        <d v="2023-07-01T00:00:00"/>
        <d v="2023-08-01T00:00:00"/>
        <d v="2023-09-01T00:00:00"/>
      </sharedItems>
      <fieldGroup par="11"/>
    </cacheField>
    <cacheField name="Region" numFmtId="0">
      <sharedItems count="7">
        <s v="Argentina"/>
        <s v="Brazil"/>
        <s v="Chicaco"/>
        <s v="Chile"/>
        <s v="Columbia"/>
        <s v="Los Angeles"/>
        <s v="Peru"/>
      </sharedItems>
    </cacheField>
    <cacheField name="Sales" numFmtId="164">
      <sharedItems containsSemiMixedTypes="0" containsString="0" containsNumber="1" minValue="1500" maxValue="18571.428571428572"/>
    </cacheField>
    <cacheField name="Profit" numFmtId="0">
      <sharedItems containsSemiMixedTypes="0" containsString="0" containsNumber="1" containsInteger="1" minValue="2000" maxValue="25000"/>
    </cacheField>
    <cacheField name="Target Sales" numFmtId="164">
      <sharedItems containsSemiMixedTypes="0" containsString="0" containsNumber="1" minValue="285.71428571428572" maxValue="5714.2857142857147"/>
    </cacheField>
    <cacheField name="Customers" numFmtId="0">
      <sharedItems containsSemiMixedTypes="0" containsString="0" containsNumber="1" containsInteger="1" minValue="15" maxValue="310" count="25">
        <n v="80"/>
        <n v="30"/>
        <n v="15"/>
        <n v="40"/>
        <n v="100"/>
        <n v="20"/>
        <n v="90"/>
        <n v="45"/>
        <n v="43"/>
        <n v="110"/>
        <n v="228"/>
        <n v="220"/>
        <n v="238"/>
        <n v="230"/>
        <n v="250"/>
        <n v="240"/>
        <n v="270"/>
        <n v="259"/>
        <n v="260"/>
        <n v="261"/>
        <n v="242"/>
        <n v="285"/>
        <n v="275"/>
        <n v="290"/>
        <n v="310"/>
      </sharedItems>
    </cacheField>
    <cacheField name="Quarter" numFmtId="0">
      <sharedItems count="3">
        <s v="Quarter 1"/>
        <s v="Quarter 2"/>
        <s v="Quarter 3"/>
      </sharedItems>
    </cacheField>
    <cacheField name="Sales Completion Rate" numFmtId="9">
      <sharedItems containsSemiMixedTypes="0" containsString="0" containsNumber="1" minValue="0.7" maxValue="0.99"/>
    </cacheField>
    <cacheField name="Profit Completion Rate" numFmtId="9">
      <sharedItems containsSemiMixedTypes="0" containsString="0" containsNumber="1" minValue="0.7" maxValue="0.99"/>
    </cacheField>
    <cacheField name="Customer Completion Rate" numFmtId="9">
      <sharedItems containsSemiMixedTypes="0" containsString="0" containsNumber="1" minValue="0.7" maxValue="0.99"/>
    </cacheField>
    <cacheField name="Days (Month)" numFmtId="0" databaseField="0">
      <fieldGroup base="0">
        <rangePr groupBy="days" startDate="2023-01-01T00:00:00" endDate="2023-09-02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2023"/>
        </groupItems>
      </fieldGroup>
    </cacheField>
    <cacheField name="Months (Month)" numFmtId="0" databaseField="0">
      <fieldGroup base="0">
        <rangePr groupBy="months" startDate="2023-01-01T00:00:00" endDate="2023-09-02T00:00:00"/>
        <groupItems count="14">
          <s v="&lt;1/1/2023"/>
          <s v="Jan"/>
          <s v="Feb"/>
          <s v="Mar"/>
          <s v="Apr"/>
          <s v="May"/>
          <s v="Jun"/>
          <s v="Jul"/>
          <s v="Aug"/>
          <s v="Sep"/>
          <s v="Oct"/>
          <s v="Nov"/>
          <s v="Dec"/>
          <s v="&gt;9/2/2023"/>
        </groupItems>
      </fieldGroup>
    </cacheField>
  </cacheFields>
  <extLst>
    <ext xmlns:x14="http://schemas.microsoft.com/office/spreadsheetml/2009/9/main" uri="{725AE2AE-9491-48be-B2B4-4EB974FC3084}">
      <x14:pivotCacheDefinition pivotCacheId="1639075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n v="5000"/>
    <n v="2581"/>
    <n v="2857.1428571428573"/>
    <x v="0"/>
    <x v="0"/>
    <n v="0.89"/>
    <n v="0.85"/>
    <n v="0.72"/>
  </r>
  <r>
    <x v="0"/>
    <x v="1"/>
    <n v="3500"/>
    <n v="3944"/>
    <n v="2857.1428571428573"/>
    <x v="1"/>
    <x v="0"/>
    <n v="0.94"/>
    <n v="0.95"/>
    <n v="0.86"/>
  </r>
  <r>
    <x v="0"/>
    <x v="2"/>
    <n v="1500"/>
    <n v="3293"/>
    <n v="2857.1428571428573"/>
    <x v="2"/>
    <x v="0"/>
    <n v="0.82"/>
    <n v="0.8"/>
    <n v="0.76"/>
  </r>
  <r>
    <x v="0"/>
    <x v="3"/>
    <n v="1500"/>
    <n v="2019"/>
    <n v="2857.1428571428573"/>
    <x v="3"/>
    <x v="0"/>
    <n v="0.79"/>
    <n v="0.79"/>
    <n v="0.79"/>
  </r>
  <r>
    <x v="0"/>
    <x v="4"/>
    <n v="6000"/>
    <n v="2980"/>
    <n v="2857.1428571428573"/>
    <x v="4"/>
    <x v="0"/>
    <n v="0.96"/>
    <n v="0.79"/>
    <n v="0.7"/>
  </r>
  <r>
    <x v="0"/>
    <x v="5"/>
    <n v="2500"/>
    <n v="2209"/>
    <n v="2857.1428571428573"/>
    <x v="2"/>
    <x v="0"/>
    <n v="0.79"/>
    <n v="0.79"/>
    <n v="0.77"/>
  </r>
  <r>
    <x v="0"/>
    <x v="6"/>
    <n v="10000"/>
    <n v="2440"/>
    <n v="2857.1428571428573"/>
    <x v="5"/>
    <x v="0"/>
    <n v="0.75"/>
    <n v="0.72"/>
    <n v="0.93"/>
  </r>
  <r>
    <x v="1"/>
    <x v="0"/>
    <n v="5000"/>
    <n v="2000"/>
    <n v="1428.5714285714287"/>
    <x v="6"/>
    <x v="0"/>
    <n v="0.92"/>
    <n v="0.99"/>
    <n v="0.74"/>
  </r>
  <r>
    <x v="1"/>
    <x v="1"/>
    <n v="15000"/>
    <n v="14431"/>
    <n v="1428.5714285714287"/>
    <x v="1"/>
    <x v="0"/>
    <n v="0.7"/>
    <n v="0.99"/>
    <n v="0.95"/>
  </r>
  <r>
    <x v="1"/>
    <x v="2"/>
    <n v="1500"/>
    <n v="3000"/>
    <n v="1428.5714285714287"/>
    <x v="2"/>
    <x v="0"/>
    <n v="0.91"/>
    <n v="0.98"/>
    <n v="0.89"/>
  </r>
  <r>
    <x v="1"/>
    <x v="3"/>
    <n v="3500"/>
    <n v="4000"/>
    <n v="1428.5714285714287"/>
    <x v="3"/>
    <x v="0"/>
    <n v="0.74"/>
    <n v="0.85"/>
    <n v="0.7"/>
  </r>
  <r>
    <x v="1"/>
    <x v="4"/>
    <n v="6000"/>
    <n v="2000"/>
    <n v="1428.5714285714287"/>
    <x v="4"/>
    <x v="0"/>
    <n v="0.9"/>
    <n v="0.9"/>
    <n v="0.72"/>
  </r>
  <r>
    <x v="1"/>
    <x v="5"/>
    <n v="4000"/>
    <n v="2000"/>
    <n v="1428.5714285714287"/>
    <x v="2"/>
    <x v="0"/>
    <n v="0.95"/>
    <n v="0.97"/>
    <n v="0.81"/>
  </r>
  <r>
    <x v="1"/>
    <x v="6"/>
    <n v="10000"/>
    <n v="2000"/>
    <n v="1428.5714285714287"/>
    <x v="5"/>
    <x v="0"/>
    <n v="0.99"/>
    <n v="0.79"/>
    <n v="0.75"/>
  </r>
  <r>
    <x v="2"/>
    <x v="0"/>
    <n v="8571.4285714285706"/>
    <n v="4000"/>
    <n v="1428.5714285714287"/>
    <x v="7"/>
    <x v="0"/>
    <n v="0.86"/>
    <n v="0.97"/>
    <n v="0.89"/>
  </r>
  <r>
    <x v="2"/>
    <x v="1"/>
    <n v="8571.4285714285706"/>
    <n v="6000"/>
    <n v="1428.5714285714287"/>
    <x v="8"/>
    <x v="0"/>
    <n v="0.83"/>
    <n v="0.72"/>
    <n v="0.74"/>
  </r>
  <r>
    <x v="2"/>
    <x v="2"/>
    <n v="8571.4285714285706"/>
    <n v="6500"/>
    <n v="1428.5714285714287"/>
    <x v="8"/>
    <x v="0"/>
    <n v="0.74"/>
    <n v="0.78"/>
    <n v="0.94"/>
  </r>
  <r>
    <x v="2"/>
    <x v="3"/>
    <n v="8571.4285714285706"/>
    <n v="12000"/>
    <n v="1428.5714285714287"/>
    <x v="8"/>
    <x v="0"/>
    <n v="0.8"/>
    <n v="0.84"/>
    <n v="0.81"/>
  </r>
  <r>
    <x v="2"/>
    <x v="4"/>
    <n v="8571.4285714285706"/>
    <n v="3000"/>
    <n v="1428.5714285714287"/>
    <x v="8"/>
    <x v="0"/>
    <n v="0.89"/>
    <n v="0.99"/>
    <n v="0.97"/>
  </r>
  <r>
    <x v="2"/>
    <x v="5"/>
    <n v="8571.4285714285706"/>
    <n v="2000"/>
    <n v="1428.5714285714287"/>
    <x v="3"/>
    <x v="0"/>
    <n v="0.71"/>
    <n v="0.87"/>
    <n v="0.94"/>
  </r>
  <r>
    <x v="2"/>
    <x v="6"/>
    <n v="8571.4285714285706"/>
    <n v="2000"/>
    <n v="1428.5714285714287"/>
    <x v="8"/>
    <x v="0"/>
    <n v="0.9"/>
    <n v="0.72"/>
    <n v="0.94"/>
  </r>
  <r>
    <x v="3"/>
    <x v="0"/>
    <n v="7857.1428571428569"/>
    <n v="3000"/>
    <n v="5714.2857142857147"/>
    <x v="4"/>
    <x v="1"/>
    <n v="0.89"/>
    <n v="0.85"/>
    <n v="0.87"/>
  </r>
  <r>
    <x v="3"/>
    <x v="1"/>
    <n v="7857.1428571428569"/>
    <n v="4500"/>
    <n v="5714.2857142857147"/>
    <x v="4"/>
    <x v="1"/>
    <n v="0.89"/>
    <n v="0.8"/>
    <n v="0.88"/>
  </r>
  <r>
    <x v="3"/>
    <x v="2"/>
    <n v="7857.1428571428569"/>
    <n v="5500"/>
    <n v="5714.2857142857147"/>
    <x v="4"/>
    <x v="1"/>
    <n v="0.98"/>
    <n v="0.99"/>
    <n v="0.81"/>
  </r>
  <r>
    <x v="3"/>
    <x v="3"/>
    <n v="7857.1428571428569"/>
    <n v="10000"/>
    <n v="5714.2857142857147"/>
    <x v="4"/>
    <x v="1"/>
    <n v="0.81"/>
    <n v="0.91"/>
    <n v="0.95"/>
  </r>
  <r>
    <x v="3"/>
    <x v="4"/>
    <n v="7857.1428571428569"/>
    <n v="2000"/>
    <n v="5714.2857142857147"/>
    <x v="4"/>
    <x v="1"/>
    <n v="0.97"/>
    <n v="0.85"/>
    <n v="0.85"/>
  </r>
  <r>
    <x v="3"/>
    <x v="5"/>
    <n v="7857.1428571428569"/>
    <n v="2000"/>
    <n v="5714.2857142857147"/>
    <x v="4"/>
    <x v="1"/>
    <n v="0.89"/>
    <n v="0.94"/>
    <n v="0.8"/>
  </r>
  <r>
    <x v="3"/>
    <x v="6"/>
    <n v="7857.1428571428569"/>
    <n v="2000"/>
    <n v="5714.2857142857147"/>
    <x v="4"/>
    <x v="1"/>
    <n v="0.88"/>
    <n v="0.94"/>
    <n v="0.7"/>
  </r>
  <r>
    <x v="4"/>
    <x v="0"/>
    <n v="11428.571428571429"/>
    <n v="20000"/>
    <n v="2857.1428571428573"/>
    <x v="6"/>
    <x v="1"/>
    <n v="0.75"/>
    <n v="0.77"/>
    <n v="0.84"/>
  </r>
  <r>
    <x v="4"/>
    <x v="1"/>
    <n v="11428.571428571429"/>
    <n v="17000"/>
    <n v="2857.1428571428573"/>
    <x v="0"/>
    <x v="1"/>
    <n v="0.73"/>
    <n v="0.96"/>
    <n v="0.93"/>
  </r>
  <r>
    <x v="4"/>
    <x v="2"/>
    <n v="11428.571428571429"/>
    <n v="16000"/>
    <n v="2857.1428571428573"/>
    <x v="6"/>
    <x v="1"/>
    <n v="0.93"/>
    <n v="0.74"/>
    <n v="0.93"/>
  </r>
  <r>
    <x v="4"/>
    <x v="3"/>
    <n v="11428.571428571429"/>
    <n v="12000"/>
    <n v="2857.1428571428573"/>
    <x v="9"/>
    <x v="1"/>
    <n v="0.85"/>
    <n v="0.7"/>
    <n v="0.99"/>
  </r>
  <r>
    <x v="4"/>
    <x v="4"/>
    <n v="11428.571428571429"/>
    <n v="20500"/>
    <n v="2857.1428571428573"/>
    <x v="6"/>
    <x v="1"/>
    <n v="0.92"/>
    <n v="0.99"/>
    <n v="0.88"/>
  </r>
  <r>
    <x v="4"/>
    <x v="5"/>
    <n v="11428.571428571429"/>
    <n v="21000"/>
    <n v="2857.1428571428573"/>
    <x v="4"/>
    <x v="1"/>
    <n v="0.75"/>
    <n v="0.97"/>
    <n v="0.83"/>
  </r>
  <r>
    <x v="4"/>
    <x v="6"/>
    <n v="11428.571428571429"/>
    <n v="21500"/>
    <n v="2857.1428571428573"/>
    <x v="6"/>
    <x v="1"/>
    <n v="0.77"/>
    <n v="0.97"/>
    <n v="0.78"/>
  </r>
  <r>
    <x v="5"/>
    <x v="0"/>
    <n v="14285.714285714286"/>
    <n v="22000"/>
    <n v="857.14285714285711"/>
    <x v="10"/>
    <x v="1"/>
    <n v="0.79"/>
    <n v="0.75"/>
    <n v="0.93"/>
  </r>
  <r>
    <x v="5"/>
    <x v="1"/>
    <n v="14285.714285714286"/>
    <n v="18000"/>
    <n v="857.14285714285711"/>
    <x v="11"/>
    <x v="1"/>
    <n v="0.81"/>
    <n v="0.98"/>
    <n v="0.86"/>
  </r>
  <r>
    <x v="5"/>
    <x v="2"/>
    <n v="14285.714285714286"/>
    <n v="18500"/>
    <n v="857.14285714285711"/>
    <x v="10"/>
    <x v="1"/>
    <n v="0.86"/>
    <n v="0.82"/>
    <n v="0.86"/>
  </r>
  <r>
    <x v="5"/>
    <x v="3"/>
    <n v="14285.714285714286"/>
    <n v="14314"/>
    <n v="857.14285714285711"/>
    <x v="12"/>
    <x v="1"/>
    <n v="0.72"/>
    <n v="0.95"/>
    <n v="0.9"/>
  </r>
  <r>
    <x v="5"/>
    <x v="4"/>
    <n v="14285.714285714286"/>
    <n v="21000"/>
    <n v="857.14285714285711"/>
    <x v="10"/>
    <x v="1"/>
    <n v="0.71"/>
    <n v="0.8"/>
    <n v="0.76"/>
  </r>
  <r>
    <x v="5"/>
    <x v="5"/>
    <n v="14285.714285714286"/>
    <n v="22500"/>
    <n v="857.14285714285711"/>
    <x v="13"/>
    <x v="1"/>
    <n v="0.97"/>
    <n v="0.95"/>
    <n v="0.85"/>
  </r>
  <r>
    <x v="5"/>
    <x v="6"/>
    <n v="14285.714285714286"/>
    <n v="22900"/>
    <n v="857.14285714285711"/>
    <x v="10"/>
    <x v="1"/>
    <n v="0.95"/>
    <n v="0.85"/>
    <n v="0.91"/>
  </r>
  <r>
    <x v="6"/>
    <x v="0"/>
    <n v="18562.957142857143"/>
    <n v="25000"/>
    <n v="714.28571428571433"/>
    <x v="14"/>
    <x v="2"/>
    <n v="0.97"/>
    <n v="0.7"/>
    <n v="0.93"/>
  </r>
  <r>
    <x v="6"/>
    <x v="1"/>
    <n v="18562.957142857143"/>
    <n v="22000"/>
    <n v="714.28571428571433"/>
    <x v="15"/>
    <x v="2"/>
    <n v="0.9"/>
    <n v="0.98"/>
    <n v="0.96"/>
  </r>
  <r>
    <x v="6"/>
    <x v="2"/>
    <n v="18562.957142857143"/>
    <n v="25000"/>
    <n v="714.28571428571433"/>
    <x v="16"/>
    <x v="2"/>
    <n v="0.9"/>
    <n v="0.95"/>
    <n v="0.98"/>
  </r>
  <r>
    <x v="6"/>
    <x v="3"/>
    <n v="18562.957142857143"/>
    <n v="25000"/>
    <n v="714.28571428571433"/>
    <x v="17"/>
    <x v="2"/>
    <n v="0.96"/>
    <n v="0.81"/>
    <n v="0.85"/>
  </r>
  <r>
    <x v="6"/>
    <x v="4"/>
    <n v="18562.957142857143"/>
    <n v="25000"/>
    <n v="714.28571428571433"/>
    <x v="18"/>
    <x v="2"/>
    <n v="0.98"/>
    <n v="0.84"/>
    <n v="0.89"/>
  </r>
  <r>
    <x v="6"/>
    <x v="5"/>
    <n v="18562.957142857143"/>
    <n v="25000"/>
    <n v="714.28571428571433"/>
    <x v="18"/>
    <x v="2"/>
    <n v="0.76"/>
    <n v="0.7"/>
    <n v="0.86"/>
  </r>
  <r>
    <x v="6"/>
    <x v="6"/>
    <n v="18562.957142857143"/>
    <n v="25000"/>
    <n v="714.28571428571433"/>
    <x v="19"/>
    <x v="2"/>
    <n v="0.91"/>
    <n v="0.77"/>
    <n v="0.75"/>
  </r>
  <r>
    <x v="7"/>
    <x v="0"/>
    <n v="18571.428571428572"/>
    <n v="25000"/>
    <n v="714.28571428571433"/>
    <x v="20"/>
    <x v="2"/>
    <n v="0.79"/>
    <n v="0.81"/>
    <n v="0.74"/>
  </r>
  <r>
    <x v="7"/>
    <x v="1"/>
    <n v="18571.428571428572"/>
    <n v="22500"/>
    <n v="714.28571428571433"/>
    <x v="14"/>
    <x v="2"/>
    <n v="0.85"/>
    <n v="0.82"/>
    <n v="0.73"/>
  </r>
  <r>
    <x v="7"/>
    <x v="2"/>
    <n v="18571.428571428572"/>
    <n v="25000"/>
    <n v="714.28571428571433"/>
    <x v="20"/>
    <x v="2"/>
    <n v="0.88"/>
    <n v="0.84"/>
    <n v="0.75"/>
  </r>
  <r>
    <x v="7"/>
    <x v="3"/>
    <n v="18571.428571428572"/>
    <n v="25000"/>
    <n v="714.28571428571433"/>
    <x v="20"/>
    <x v="2"/>
    <n v="0.81"/>
    <n v="0.92"/>
    <n v="0.91"/>
  </r>
  <r>
    <x v="7"/>
    <x v="4"/>
    <n v="18571.428571428572"/>
    <n v="25000"/>
    <n v="714.28571428571433"/>
    <x v="20"/>
    <x v="2"/>
    <n v="0.84"/>
    <n v="0.73"/>
    <n v="0.99"/>
  </r>
  <r>
    <x v="7"/>
    <x v="5"/>
    <n v="18571.428571428572"/>
    <n v="25000"/>
    <n v="714.28571428571433"/>
    <x v="15"/>
    <x v="2"/>
    <n v="0.93"/>
    <n v="0.79"/>
    <n v="0.72"/>
  </r>
  <r>
    <x v="7"/>
    <x v="6"/>
    <n v="18571.428571428572"/>
    <n v="25000"/>
    <n v="714.28571428571433"/>
    <x v="20"/>
    <x v="2"/>
    <n v="0.84"/>
    <n v="0.79"/>
    <n v="0.8"/>
  </r>
  <r>
    <x v="8"/>
    <x v="0"/>
    <n v="17857.142857142859"/>
    <n v="22500"/>
    <n v="285.71428571428572"/>
    <x v="21"/>
    <x v="2"/>
    <n v="0.85"/>
    <n v="0.91"/>
    <n v="0.84"/>
  </r>
  <r>
    <x v="8"/>
    <x v="1"/>
    <n v="17857.142857142859"/>
    <n v="21500"/>
    <n v="285.71428571428572"/>
    <x v="22"/>
    <x v="2"/>
    <n v="0.86"/>
    <n v="0.75"/>
    <n v="0.96"/>
  </r>
  <r>
    <x v="8"/>
    <x v="2"/>
    <n v="17857.142857142859"/>
    <n v="24000"/>
    <n v="285.71428571428572"/>
    <x v="21"/>
    <x v="2"/>
    <n v="0.96"/>
    <n v="0.77"/>
    <n v="0.92"/>
  </r>
  <r>
    <x v="8"/>
    <x v="3"/>
    <n v="17857.142857142859"/>
    <n v="24500"/>
    <n v="285.71428571428572"/>
    <x v="23"/>
    <x v="2"/>
    <n v="0.99"/>
    <n v="0.97"/>
    <n v="0.73"/>
  </r>
  <r>
    <x v="8"/>
    <x v="4"/>
    <n v="17857.142857142859"/>
    <n v="24500"/>
    <n v="285.71428571428572"/>
    <x v="24"/>
    <x v="2"/>
    <n v="0.77"/>
    <n v="0.72"/>
    <n v="0.85"/>
  </r>
  <r>
    <x v="8"/>
    <x v="5"/>
    <n v="17857.142857142859"/>
    <n v="24500"/>
    <n v="285.71428571428572"/>
    <x v="16"/>
    <x v="2"/>
    <n v="0.77"/>
    <n v="0.96"/>
    <n v="0.78"/>
  </r>
  <r>
    <x v="8"/>
    <x v="6"/>
    <n v="17857.142857142859"/>
    <n v="24500"/>
    <n v="285.71428571428572"/>
    <x v="21"/>
    <x v="2"/>
    <n v="0.78"/>
    <n v="0.8"/>
    <n v="0.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6BE564-8FE9-47FC-A394-A5DA048B8C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pivotFields count="12">
    <pivotField numFmtId="17" showAll="0">
      <items count="10">
        <item x="0"/>
        <item x="1"/>
        <item x="2"/>
        <item x="3"/>
        <item x="4"/>
        <item x="5"/>
        <item x="6"/>
        <item x="7"/>
        <item x="8"/>
        <item t="default"/>
      </items>
    </pivotField>
    <pivotField showAll="0"/>
    <pivotField dataField="1" numFmtId="164" showAll="0"/>
    <pivotField showAll="0"/>
    <pivotField numFmtId="164" showAll="0"/>
    <pivotField showAll="0"/>
    <pivotField showAll="0"/>
    <pivotField numFmtId="9" showAll="0"/>
    <pivotField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fld="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25167-9CD3-46E2-B040-144FBF4C82A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A3:B28" firstHeaderRow="1" firstDataRow="1" firstDataCol="1"/>
  <pivotFields count="12">
    <pivotField numFmtId="17" showAll="0">
      <items count="10">
        <item x="0"/>
        <item x="1"/>
        <item x="2"/>
        <item x="3"/>
        <item x="4"/>
        <item x="5"/>
        <item x="6"/>
        <item x="7"/>
        <item x="8"/>
        <item t="default"/>
      </items>
    </pivotField>
    <pivotField axis="axisRow" showAll="0">
      <items count="8">
        <item x="0"/>
        <item x="1"/>
        <item x="2"/>
        <item x="3"/>
        <item x="4"/>
        <item x="5"/>
        <item x="6"/>
        <item t="default"/>
      </items>
    </pivotField>
    <pivotField dataField="1" numFmtId="164" showAll="0"/>
    <pivotField showAll="0"/>
    <pivotField numFmtId="164" showAll="0"/>
    <pivotField showAll="0">
      <items count="26">
        <item x="2"/>
        <item x="5"/>
        <item x="1"/>
        <item x="3"/>
        <item x="8"/>
        <item x="7"/>
        <item x="0"/>
        <item x="6"/>
        <item x="4"/>
        <item x="9"/>
        <item x="11"/>
        <item x="10"/>
        <item x="13"/>
        <item x="12"/>
        <item x="15"/>
        <item x="20"/>
        <item x="14"/>
        <item x="17"/>
        <item x="18"/>
        <item x="19"/>
        <item x="16"/>
        <item x="22"/>
        <item x="21"/>
        <item x="23"/>
        <item x="24"/>
        <item t="default"/>
      </items>
    </pivotField>
    <pivotField axis="axisRow" showAll="0">
      <items count="4">
        <item x="0"/>
        <item x="1"/>
        <item x="2"/>
        <item t="default"/>
      </items>
    </pivotField>
    <pivotField numFmtId="9" showAll="0"/>
    <pivotField numFmtId="9"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1"/>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Items count="1">
    <i/>
  </colItems>
  <dataFields count="1">
    <dataField name="Sum of Sales" fld="2" baseField="0" baseItem="0" numFmtId="164"/>
  </dataFields>
  <chartFormats count="6">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47198FE-B536-4EF8-A2CB-40C88568E36A}" sourceName="Region">
  <pivotTables>
    <pivotTable tabId="9" name="PivotTable2"/>
  </pivotTables>
  <data>
    <tabular pivotCacheId="1639075912">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4C0C430E-5CE5-4A12-AF9C-F485830299C5}" sourceName="Quarter">
  <pivotTables>
    <pivotTable tabId="9" name="PivotTable2"/>
  </pivotTables>
  <data>
    <tabular pivotCacheId="163907591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A15FBA7-7F0F-4EBB-8970-250E46938D45}" cache="Slicer_Region1" caption="Region" columnCount="2" style="SlicerStyleDark2" rowHeight="257175"/>
  <slicer name="Quarter 2" xr10:uid="{EA699C51-2EC1-4A6C-BD0D-F3885BE5D52A}" cache="Slicer_Quarter1" caption="Quarter"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81DCB28-8C88-4B41-9F21-632B70E65DF0}" name="Table13" displayName="Table13" ref="A3:J66" totalsRowShown="0">
  <autoFilter ref="A3:J66" xr:uid="{081DCB28-8C88-4B41-9F21-632B70E65DF0}"/>
  <tableColumns count="10">
    <tableColumn id="1" xr3:uid="{D28A06DF-70A6-4670-8928-28440EA873BF}" name="Month" dataDxfId="59"/>
    <tableColumn id="2" xr3:uid="{1F699FC1-B630-4A40-8EE5-A55B429291B9}" name="Region"/>
    <tableColumn id="3" xr3:uid="{52B13C68-44E4-44F2-8234-1FE51929260E}" name="Sales"/>
    <tableColumn id="4" xr3:uid="{448D1B1E-A6C2-494A-8FE6-07FDF3223EC7}" name="Profit"/>
    <tableColumn id="5" xr3:uid="{29E93ED0-0912-409C-B690-9EF0566C5E7A}" name="Target Sales"/>
    <tableColumn id="6" xr3:uid="{24560655-9CDD-429E-AD0C-5A6AAEF9DA10}" name="Customers"/>
    <tableColumn id="7" xr3:uid="{9A3F8120-117A-40EE-B410-0958C7A2C9F8}" name="Quarter"/>
    <tableColumn id="8" xr3:uid="{1DBD6AED-4E7C-452E-A3E1-B01488429D4E}" name="Sales Completion Rate"/>
    <tableColumn id="9" xr3:uid="{CDBABAC8-D248-4921-831D-5A9A7070A28E}" name="Profit Completion Rate"/>
    <tableColumn id="10" xr3:uid="{C6DC5CE7-3C14-4F3D-A8A2-8EA1586447D7}" name="Customer Completion R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F977343-0350-45F9-B610-4FDEF69F2FEB}" name="Table14" displayName="Table14" ref="A3:J66" totalsRowShown="0">
  <autoFilter ref="A3:J66" xr:uid="{5F977343-0350-45F9-B610-4FDEF69F2FEB}"/>
  <tableColumns count="10">
    <tableColumn id="1" xr3:uid="{EC6E5E74-C655-465D-9A21-6897893862F2}" name="Month" dataDxfId="58"/>
    <tableColumn id="2" xr3:uid="{9E372C53-12E9-40C2-989C-C9E4F11FE76B}" name="Region"/>
    <tableColumn id="3" xr3:uid="{FB80EBC0-F41A-446B-A8F1-B157824724D8}" name="Sales"/>
    <tableColumn id="4" xr3:uid="{51B238A3-FAFD-4C11-AE86-B23A656FF078}" name="Profit"/>
    <tableColumn id="5" xr3:uid="{8AB688A4-2294-4A93-97EB-EA49B76C6E62}" name="Target Sales"/>
    <tableColumn id="6" xr3:uid="{AF9AAF2A-97C3-4A9C-98F8-E9AAA8E51F27}" name="Customers"/>
    <tableColumn id="7" xr3:uid="{73B1EA6C-5703-44CA-8582-C910AF22E05C}" name="Quarter"/>
    <tableColumn id="8" xr3:uid="{5379DECD-DE66-4B78-A1F5-6392AF26F89A}" name="Sales Completion Rate"/>
    <tableColumn id="9" xr3:uid="{3D3B8E51-2C80-4BF2-880B-ECB4F10E2A6E}" name="Profit Completion Rate"/>
    <tableColumn id="10" xr3:uid="{7CDC9012-B623-41B6-8B0D-F1F3D93D64EB}" name="Customer Completion R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64">
  <autoFilter ref="A1:J64" xr:uid="{00000000-000C-0000-FFFF-FFFF00000000}">
    <filterColumn colId="6">
      <filters>
        <filter val="Quarter 2"/>
      </filters>
    </filterColumn>
  </autoFilter>
  <tableColumns count="10">
    <tableColumn id="1" xr3:uid="{00000000-0010-0000-0000-000001000000}" name="Month"/>
    <tableColumn id="2" xr3:uid="{00000000-0010-0000-0000-000002000000}" name="Region"/>
    <tableColumn id="3" xr3:uid="{00000000-0010-0000-0000-000003000000}" name="Sales"/>
    <tableColumn id="4" xr3:uid="{00000000-0010-0000-0000-000004000000}" name="Profit"/>
    <tableColumn id="5" xr3:uid="{00000000-0010-0000-0000-000005000000}" name="Target Sales"/>
    <tableColumn id="6" xr3:uid="{00000000-0010-0000-0000-000006000000}" name="Customers"/>
    <tableColumn id="7" xr3:uid="{00000000-0010-0000-0000-000007000000}" name="Quarter"/>
    <tableColumn id="8" xr3:uid="{00000000-0010-0000-0000-000008000000}" name="Sales Completion Rate"/>
    <tableColumn id="9" xr3:uid="{00000000-0010-0000-0000-000009000000}" name="Profit Completion Rate"/>
    <tableColumn id="10" xr3:uid="{00000000-0010-0000-0000-00000A000000}" name="Customer Completion Rate"/>
  </tableColumns>
  <tableStyleInfo name="Data-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BCAF17-761D-4970-8411-3595E4B45CC5}" name="Table2" displayName="Table2" ref="A2:B5" totalsRowShown="0" headerRowBorderDxfId="57" tableBorderDxfId="56" totalsRowBorderDxfId="55">
  <autoFilter ref="A2:B5" xr:uid="{FDBCAF17-761D-4970-8411-3595E4B45CC5}"/>
  <tableColumns count="2">
    <tableColumn id="1" xr3:uid="{116F5BDF-FA42-43E8-9CD3-DF8F8A264C0D}" name="Values" dataDxfId="54"/>
    <tableColumn id="2" xr3:uid="{87E5E877-F407-45F7-9A1E-DF80F3A69A57}" name="Column1" dataDxfId="5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C50AD3-AE0A-4FC1-BE32-2FD11265AEF0}" name="Table3" displayName="Table3" ref="A8:A9" totalsRowShown="0" headerRowDxfId="52" dataDxfId="50" headerRowBorderDxfId="51" tableBorderDxfId="49" totalsRowBorderDxfId="48">
  <autoFilter ref="A8:A9" xr:uid="{C0C50AD3-AE0A-4FC1-BE32-2FD11265AEF0}"/>
  <tableColumns count="1">
    <tableColumn id="1" xr3:uid="{EC85325E-8F4C-4CF3-BF99-992F629160CF}" name="Average of Sales Completion Rate" dataDxfId="4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6F4C3F-D860-4436-A10B-B40B8DBC345A}" name="Table4" displayName="Table4" ref="A11:A12" totalsRowShown="0" headerRowDxfId="46" dataDxfId="44" headerRowBorderDxfId="45" tableBorderDxfId="43" totalsRowBorderDxfId="42">
  <autoFilter ref="A11:A12" xr:uid="{2E6F4C3F-D860-4436-A10B-B40B8DBC345A}"/>
  <tableColumns count="1">
    <tableColumn id="1" xr3:uid="{64828993-7C6D-493D-B7D7-BA700EEED5D9}" name="Average of Profit Completion Rate" dataDxfId="4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1511C2-BD8C-4513-8ED3-A66E659BDDD8}" name="Table5" displayName="Table5" ref="A14:A15" totalsRowShown="0" headerRowDxfId="40" dataDxfId="38" headerRowBorderDxfId="39" tableBorderDxfId="37" totalsRowBorderDxfId="36">
  <autoFilter ref="A14:A15" xr:uid="{B21511C2-BD8C-4513-8ED3-A66E659BDDD8}"/>
  <tableColumns count="1">
    <tableColumn id="1" xr3:uid="{7CA700FF-8316-487C-BB6B-C8AC336A65D0}" name="Average of Customer Completion Rate" dataDxfId="3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C8BCFF-972F-4352-9698-09FF3AC3C526}" name="Table6" displayName="Table6" ref="D2:E5" totalsRowShown="0" headerRowBorderDxfId="34" tableBorderDxfId="33" totalsRowBorderDxfId="32">
  <autoFilter ref="D2:E5" xr:uid="{CEC8BCFF-972F-4352-9698-09FF3AC3C526}"/>
  <tableColumns count="2">
    <tableColumn id="1" xr3:uid="{3E9A7327-7459-4D74-8357-13C990705931}" name="Column1" dataDxfId="31"/>
    <tableColumn id="2" xr3:uid="{7FD0DE56-3F1B-43E3-B7AB-A1DA7F86420B}" name="Headers">
      <calculatedColumnFormula>B3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C99AF-2CE6-43BD-B0D9-724F25306E4A}" name="Table7" displayName="Table7" ref="D8:E10" totalsRowShown="0" headerRowBorderDxfId="30" tableBorderDxfId="29" totalsRowBorderDxfId="28">
  <autoFilter ref="D8:E10" xr:uid="{6A4C99AF-2CE6-43BD-B0D9-724F25306E4A}"/>
  <tableColumns count="2">
    <tableColumn id="1" xr3:uid="{C3063323-C568-4FD5-B3E6-8D1A67C5EFDF}" name="Column1" dataDxfId="27"/>
    <tableColumn id="2" xr3:uid="{308D0977-3E40-424F-B108-2BAA865F6983}" name="Column2" dataDxfId="26">
      <calculatedColumnFormula>1-E8</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9853509-9683-4B55-80D8-2CC5ABFCF792}" name="Table8" displayName="Table8" ref="D11:E13" totalsRowShown="0" headerRowBorderDxfId="25" tableBorderDxfId="24" totalsRowBorderDxfId="23">
  <autoFilter ref="D11:E13" xr:uid="{E9853509-9683-4B55-80D8-2CC5ABFCF792}"/>
  <tableColumns count="2">
    <tableColumn id="1" xr3:uid="{97FC1FE5-B351-4834-9161-B54EB6E014E3}" name="Column1" dataDxfId="22"/>
    <tableColumn id="2" xr3:uid="{478657B0-6DD6-496B-9580-03FCC44C7D5B}" name="Column2" dataDxfId="21">
      <calculatedColumnFormula>1-E11</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5C0A66B-A45D-4ECF-A09F-444CC0C831CA}" name="Table9" displayName="Table9" ref="D14:E16" totalsRowShown="0" headerRowBorderDxfId="20" tableBorderDxfId="19" totalsRowBorderDxfId="18">
  <autoFilter ref="D14:E16" xr:uid="{D5C0A66B-A45D-4ECF-A09F-444CC0C831CA}"/>
  <tableColumns count="2">
    <tableColumn id="1" xr3:uid="{D0F1A19F-1358-411C-85FA-7D0BC6095E45}" name="Column1" dataDxfId="17"/>
    <tableColumn id="2" xr3:uid="{9D23AF68-6750-48C1-A398-B22A8FFDCF00}" name="Column2" dataDxfId="16">
      <calculatedColumnFormula>1-E14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CC55C6-1632-41BE-96D5-3811EA49128D}" name="Table10" displayName="Table10" ref="H2:J12" totalsRowShown="0" headerRowBorderDxfId="15" tableBorderDxfId="14" totalsRowBorderDxfId="13">
  <autoFilter ref="H2:J12" xr:uid="{83CC55C6-1632-41BE-96D5-3811EA49128D}"/>
  <tableColumns count="3">
    <tableColumn id="1" xr3:uid="{FCF69ADA-1717-4970-B2CF-D3D9855FA901}" name="Row Labels" dataDxfId="12"/>
    <tableColumn id="2" xr3:uid="{15AD2B84-D34C-430E-B6A5-004CA12E0A4B}" name="Sales " dataDxfId="11"/>
    <tableColumn id="3" xr3:uid="{ACA50121-732F-4F6D-97CD-3F55931302A4}" name="Target Sales " dataDxfId="1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4E7DE9E-AAA9-4BE0-80E8-DD524392C662}" name="Table11" displayName="Table11" ref="L2:M12" totalsRowShown="0" headerRowBorderDxfId="9" tableBorderDxfId="8" totalsRowBorderDxfId="7">
  <autoFilter ref="L2:M12" xr:uid="{54E7DE9E-AAA9-4BE0-80E8-DD524392C662}"/>
  <tableColumns count="2">
    <tableColumn id="1" xr3:uid="{B00291B2-B2DD-4CF0-BFFE-F31A947B6DC6}" name="Row Labels" dataDxfId="6"/>
    <tableColumn id="2" xr3:uid="{8B178D75-7594-47CC-9432-371C3E37DE4C}" name="Sum of Customers"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F3BF6C3-24A7-44E0-85F7-D5558725C742}" name="Table12" displayName="Table12" ref="O2:P10" totalsRowShown="0" headerRowBorderDxfId="4" tableBorderDxfId="3" totalsRowBorderDxfId="2">
  <autoFilter ref="O2:P10" xr:uid="{3F3BF6C3-24A7-44E0-85F7-D5558725C742}"/>
  <tableColumns count="2">
    <tableColumn id="1" xr3:uid="{52C13D9B-86C2-494A-8979-F5F8CD865AD2}" name="Row Labels" dataDxfId="1"/>
    <tableColumn id="2" xr3:uid="{75A822AB-0BCD-4DDF-98AC-6292320EBC9A}" name="Sum of Profi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E45BB7E7-8C7E-4F2C-A234-E62310C16991}" sourceName="Month">
  <pivotTables>
    <pivotTable tabId="9" name="PivotTable2"/>
  </pivotTables>
  <state minimalRefreshVersion="6" lastRefreshVersion="6" pivotCacheId="163907591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1" xr10:uid="{AAF29B0F-D0FA-40C2-AD1D-F718A755669D}" cache="NativeTimeline_Month" caption="Month" level="2" selectionLevel="2" scrollPosition="2023-05-19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D3B7-3CB0-45A3-B90D-A48A9F4486ED}">
  <dimension ref="A1"/>
  <sheetViews>
    <sheetView showGridLines="0" tabSelected="1" topLeftCell="O16" zoomScale="62" workbookViewId="0">
      <selection activeCell="Q30" sqref="Q30"/>
    </sheetView>
  </sheetViews>
  <sheetFormatPr defaultRowHeight="15.75" x14ac:dyDescent="0.25"/>
  <cols>
    <col min="1" max="16384" width="9" style="2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DE82-EB0B-4264-9F9A-F1C08BEE6895}">
  <dimension ref="A1:J66"/>
  <sheetViews>
    <sheetView workbookViewId="0">
      <selection activeCell="A3" sqref="A3:J66"/>
    </sheetView>
  </sheetViews>
  <sheetFormatPr defaultRowHeight="15.75" x14ac:dyDescent="0.25"/>
  <cols>
    <col min="1" max="1" width="9.125" bestFit="1" customWidth="1"/>
    <col min="2" max="2" width="10.625" bestFit="1" customWidth="1"/>
    <col min="3" max="4" width="9.125" bestFit="1" customWidth="1"/>
    <col min="5" max="5" width="13.125" bestFit="1" customWidth="1"/>
    <col min="6" max="6" width="11.75" bestFit="1" customWidth="1"/>
    <col min="7" max="7" width="9.625" bestFit="1" customWidth="1"/>
    <col min="8" max="8" width="22.125" bestFit="1" customWidth="1"/>
    <col min="9" max="9" width="22.75" bestFit="1" customWidth="1"/>
    <col min="10" max="10" width="26.125" bestFit="1" customWidth="1"/>
  </cols>
  <sheetData>
    <row r="1" spans="1:10" x14ac:dyDescent="0.25">
      <c r="A1" s="30" t="s">
        <v>40</v>
      </c>
    </row>
    <row r="3" spans="1:10" x14ac:dyDescent="0.25">
      <c r="A3" t="s">
        <v>0</v>
      </c>
      <c r="B3" t="s">
        <v>1</v>
      </c>
      <c r="C3" t="s">
        <v>2</v>
      </c>
      <c r="D3" t="s">
        <v>3</v>
      </c>
      <c r="E3" t="s">
        <v>4</v>
      </c>
      <c r="F3" t="s">
        <v>5</v>
      </c>
      <c r="G3" t="s">
        <v>6</v>
      </c>
      <c r="H3" t="s">
        <v>7</v>
      </c>
      <c r="I3" t="s">
        <v>8</v>
      </c>
      <c r="J3" t="s">
        <v>9</v>
      </c>
    </row>
    <row r="4" spans="1:10" x14ac:dyDescent="0.25">
      <c r="A4" s="29">
        <v>44927</v>
      </c>
      <c r="B4" t="s">
        <v>10</v>
      </c>
      <c r="C4">
        <v>5000</v>
      </c>
      <c r="D4">
        <v>2581</v>
      </c>
      <c r="E4">
        <v>2857.1428571428573</v>
      </c>
      <c r="F4">
        <v>80</v>
      </c>
      <c r="G4" t="s">
        <v>11</v>
      </c>
      <c r="H4">
        <v>0.89</v>
      </c>
      <c r="I4">
        <v>0.85</v>
      </c>
      <c r="J4">
        <v>0.72</v>
      </c>
    </row>
    <row r="5" spans="1:10" x14ac:dyDescent="0.25">
      <c r="A5" s="29">
        <v>44927</v>
      </c>
      <c r="B5" t="s">
        <v>12</v>
      </c>
      <c r="C5">
        <v>3500</v>
      </c>
      <c r="D5">
        <v>3944</v>
      </c>
      <c r="E5">
        <v>2857.1428571428573</v>
      </c>
      <c r="F5">
        <v>30</v>
      </c>
      <c r="G5" t="s">
        <v>11</v>
      </c>
      <c r="H5">
        <v>0.94</v>
      </c>
      <c r="I5">
        <v>0.95</v>
      </c>
      <c r="J5">
        <v>0.86</v>
      </c>
    </row>
    <row r="6" spans="1:10" x14ac:dyDescent="0.25">
      <c r="A6" s="29">
        <v>44927</v>
      </c>
      <c r="B6" t="s">
        <v>13</v>
      </c>
      <c r="C6">
        <v>1500</v>
      </c>
      <c r="D6">
        <v>3293</v>
      </c>
      <c r="E6">
        <v>2857.1428571428573</v>
      </c>
      <c r="F6">
        <v>15</v>
      </c>
      <c r="G6" t="s">
        <v>11</v>
      </c>
      <c r="H6">
        <v>0.82</v>
      </c>
      <c r="I6">
        <v>0.8</v>
      </c>
      <c r="J6">
        <v>0.76</v>
      </c>
    </row>
    <row r="7" spans="1:10" x14ac:dyDescent="0.25">
      <c r="A7" s="29">
        <v>44927</v>
      </c>
      <c r="B7" t="s">
        <v>14</v>
      </c>
      <c r="C7">
        <v>1500</v>
      </c>
      <c r="D7">
        <v>2019</v>
      </c>
      <c r="E7">
        <v>2857.1428571428573</v>
      </c>
      <c r="F7">
        <v>40</v>
      </c>
      <c r="G7" t="s">
        <v>11</v>
      </c>
      <c r="H7">
        <v>0.79</v>
      </c>
      <c r="I7">
        <v>0.79</v>
      </c>
      <c r="J7">
        <v>0.79</v>
      </c>
    </row>
    <row r="8" spans="1:10" x14ac:dyDescent="0.25">
      <c r="A8" s="29">
        <v>44927</v>
      </c>
      <c r="B8" t="s">
        <v>15</v>
      </c>
      <c r="C8">
        <v>6000</v>
      </c>
      <c r="D8">
        <v>2980</v>
      </c>
      <c r="E8">
        <v>2857.1428571428573</v>
      </c>
      <c r="F8">
        <v>100</v>
      </c>
      <c r="G8" t="s">
        <v>11</v>
      </c>
      <c r="H8">
        <v>0.96</v>
      </c>
      <c r="I8">
        <v>0.79</v>
      </c>
      <c r="J8">
        <v>0.7</v>
      </c>
    </row>
    <row r="9" spans="1:10" x14ac:dyDescent="0.25">
      <c r="A9" s="29">
        <v>44927</v>
      </c>
      <c r="B9" t="s">
        <v>16</v>
      </c>
      <c r="C9">
        <v>2500</v>
      </c>
      <c r="D9">
        <v>2209</v>
      </c>
      <c r="E9">
        <v>2857.1428571428573</v>
      </c>
      <c r="F9">
        <v>15</v>
      </c>
      <c r="G9" t="s">
        <v>11</v>
      </c>
      <c r="H9">
        <v>0.79</v>
      </c>
      <c r="I9">
        <v>0.79</v>
      </c>
      <c r="J9">
        <v>0.77</v>
      </c>
    </row>
    <row r="10" spans="1:10" x14ac:dyDescent="0.25">
      <c r="A10" s="29">
        <v>44927</v>
      </c>
      <c r="B10" t="s">
        <v>17</v>
      </c>
      <c r="C10">
        <v>10000</v>
      </c>
      <c r="D10">
        <v>2440</v>
      </c>
      <c r="E10">
        <v>2857.1428571428573</v>
      </c>
      <c r="F10">
        <v>20</v>
      </c>
      <c r="G10" t="s">
        <v>11</v>
      </c>
      <c r="H10">
        <v>0.75</v>
      </c>
      <c r="I10">
        <v>0.72</v>
      </c>
      <c r="J10">
        <v>0.93</v>
      </c>
    </row>
    <row r="11" spans="1:10" x14ac:dyDescent="0.25">
      <c r="A11" s="29">
        <v>44958</v>
      </c>
      <c r="B11" t="s">
        <v>10</v>
      </c>
      <c r="C11">
        <v>5000</v>
      </c>
      <c r="D11">
        <v>2000</v>
      </c>
      <c r="E11">
        <v>1428.5714285714287</v>
      </c>
      <c r="F11">
        <v>90</v>
      </c>
      <c r="G11" t="s">
        <v>11</v>
      </c>
      <c r="H11">
        <v>0.92</v>
      </c>
      <c r="I11">
        <v>0.99</v>
      </c>
      <c r="J11">
        <v>0.74</v>
      </c>
    </row>
    <row r="12" spans="1:10" x14ac:dyDescent="0.25">
      <c r="A12" s="29">
        <v>44958</v>
      </c>
      <c r="B12" t="s">
        <v>12</v>
      </c>
      <c r="C12">
        <v>15000</v>
      </c>
      <c r="D12">
        <v>14431</v>
      </c>
      <c r="E12">
        <v>1428.5714285714287</v>
      </c>
      <c r="F12">
        <v>30</v>
      </c>
      <c r="G12" t="s">
        <v>11</v>
      </c>
      <c r="H12">
        <v>0.7</v>
      </c>
      <c r="I12">
        <v>0.99</v>
      </c>
      <c r="J12">
        <v>0.95</v>
      </c>
    </row>
    <row r="13" spans="1:10" x14ac:dyDescent="0.25">
      <c r="A13" s="29">
        <v>44958</v>
      </c>
      <c r="B13" t="s">
        <v>13</v>
      </c>
      <c r="C13">
        <v>1500</v>
      </c>
      <c r="D13">
        <v>3000</v>
      </c>
      <c r="E13">
        <v>1428.5714285714287</v>
      </c>
      <c r="F13">
        <v>15</v>
      </c>
      <c r="G13" t="s">
        <v>11</v>
      </c>
      <c r="H13">
        <v>0.91</v>
      </c>
      <c r="I13">
        <v>0.98</v>
      </c>
      <c r="J13">
        <v>0.89</v>
      </c>
    </row>
    <row r="14" spans="1:10" x14ac:dyDescent="0.25">
      <c r="A14" s="29">
        <v>44958</v>
      </c>
      <c r="B14" t="s">
        <v>14</v>
      </c>
      <c r="C14">
        <v>3500</v>
      </c>
      <c r="D14">
        <v>4000</v>
      </c>
      <c r="E14">
        <v>1428.5714285714287</v>
      </c>
      <c r="F14">
        <v>40</v>
      </c>
      <c r="G14" t="s">
        <v>11</v>
      </c>
      <c r="H14">
        <v>0.74</v>
      </c>
      <c r="I14">
        <v>0.85</v>
      </c>
      <c r="J14">
        <v>0.7</v>
      </c>
    </row>
    <row r="15" spans="1:10" x14ac:dyDescent="0.25">
      <c r="A15" s="29">
        <v>44958</v>
      </c>
      <c r="B15" t="s">
        <v>15</v>
      </c>
      <c r="C15">
        <v>6000</v>
      </c>
      <c r="D15">
        <v>2000</v>
      </c>
      <c r="E15">
        <v>1428.5714285714287</v>
      </c>
      <c r="F15">
        <v>100</v>
      </c>
      <c r="G15" t="s">
        <v>11</v>
      </c>
      <c r="H15">
        <v>0.9</v>
      </c>
      <c r="I15">
        <v>0.9</v>
      </c>
      <c r="J15">
        <v>0.72</v>
      </c>
    </row>
    <row r="16" spans="1:10" x14ac:dyDescent="0.25">
      <c r="A16" s="29">
        <v>44958</v>
      </c>
      <c r="B16" t="s">
        <v>16</v>
      </c>
      <c r="C16">
        <v>4000</v>
      </c>
      <c r="D16">
        <v>2000</v>
      </c>
      <c r="E16">
        <v>1428.5714285714287</v>
      </c>
      <c r="F16">
        <v>15</v>
      </c>
      <c r="G16" t="s">
        <v>11</v>
      </c>
      <c r="H16">
        <v>0.95</v>
      </c>
      <c r="I16">
        <v>0.97</v>
      </c>
      <c r="J16">
        <v>0.81</v>
      </c>
    </row>
    <row r="17" spans="1:10" x14ac:dyDescent="0.25">
      <c r="A17" s="29">
        <v>44958</v>
      </c>
      <c r="B17" t="s">
        <v>17</v>
      </c>
      <c r="C17">
        <v>10000</v>
      </c>
      <c r="D17">
        <v>2000</v>
      </c>
      <c r="E17">
        <v>1428.5714285714287</v>
      </c>
      <c r="F17">
        <v>20</v>
      </c>
      <c r="G17" t="s">
        <v>11</v>
      </c>
      <c r="H17">
        <v>0.99</v>
      </c>
      <c r="I17">
        <v>0.79</v>
      </c>
      <c r="J17">
        <v>0.75</v>
      </c>
    </row>
    <row r="18" spans="1:10" x14ac:dyDescent="0.25">
      <c r="A18" s="29">
        <v>44986</v>
      </c>
      <c r="B18" t="s">
        <v>10</v>
      </c>
      <c r="C18">
        <v>8571.4285714285706</v>
      </c>
      <c r="D18">
        <v>4000</v>
      </c>
      <c r="E18">
        <v>1428.5714285714287</v>
      </c>
      <c r="F18">
        <v>45</v>
      </c>
      <c r="G18" t="s">
        <v>11</v>
      </c>
      <c r="H18">
        <v>0.86</v>
      </c>
      <c r="I18">
        <v>0.97</v>
      </c>
      <c r="J18">
        <v>0.89</v>
      </c>
    </row>
    <row r="19" spans="1:10" x14ac:dyDescent="0.25">
      <c r="A19" s="29">
        <v>44986</v>
      </c>
      <c r="B19" t="s">
        <v>12</v>
      </c>
      <c r="C19">
        <v>8571.4285714285706</v>
      </c>
      <c r="D19">
        <v>6000</v>
      </c>
      <c r="E19">
        <v>1428.5714285714287</v>
      </c>
      <c r="F19">
        <v>43</v>
      </c>
      <c r="G19" t="s">
        <v>11</v>
      </c>
      <c r="H19">
        <v>0.83</v>
      </c>
      <c r="I19">
        <v>0.72</v>
      </c>
      <c r="J19">
        <v>0.74</v>
      </c>
    </row>
    <row r="20" spans="1:10" x14ac:dyDescent="0.25">
      <c r="A20" s="29">
        <v>44986</v>
      </c>
      <c r="B20" t="s">
        <v>13</v>
      </c>
      <c r="C20">
        <v>8571.4285714285706</v>
      </c>
      <c r="D20">
        <v>6500</v>
      </c>
      <c r="E20">
        <v>1428.5714285714287</v>
      </c>
      <c r="F20">
        <v>43</v>
      </c>
      <c r="G20" t="s">
        <v>11</v>
      </c>
      <c r="H20">
        <v>0.74</v>
      </c>
      <c r="I20">
        <v>0.78</v>
      </c>
      <c r="J20">
        <v>0.94</v>
      </c>
    </row>
    <row r="21" spans="1:10" x14ac:dyDescent="0.25">
      <c r="A21" s="29">
        <v>44986</v>
      </c>
      <c r="B21" t="s">
        <v>14</v>
      </c>
      <c r="C21">
        <v>8571.4285714285706</v>
      </c>
      <c r="D21">
        <v>12000</v>
      </c>
      <c r="E21">
        <v>1428.5714285714287</v>
      </c>
      <c r="F21">
        <v>43</v>
      </c>
      <c r="G21" t="s">
        <v>11</v>
      </c>
      <c r="H21">
        <v>0.8</v>
      </c>
      <c r="I21">
        <v>0.84</v>
      </c>
      <c r="J21">
        <v>0.81</v>
      </c>
    </row>
    <row r="22" spans="1:10" x14ac:dyDescent="0.25">
      <c r="A22" s="29">
        <v>44986</v>
      </c>
      <c r="B22" t="s">
        <v>15</v>
      </c>
      <c r="C22">
        <v>8571.4285714285706</v>
      </c>
      <c r="D22">
        <v>3000</v>
      </c>
      <c r="E22">
        <v>1428.5714285714287</v>
      </c>
      <c r="F22">
        <v>43</v>
      </c>
      <c r="G22" t="s">
        <v>11</v>
      </c>
      <c r="H22">
        <v>0.89</v>
      </c>
      <c r="I22">
        <v>0.99</v>
      </c>
      <c r="J22">
        <v>0.97</v>
      </c>
    </row>
    <row r="23" spans="1:10" x14ac:dyDescent="0.25">
      <c r="A23" s="29">
        <v>44986</v>
      </c>
      <c r="B23" t="s">
        <v>16</v>
      </c>
      <c r="C23">
        <v>8571.4285714285706</v>
      </c>
      <c r="D23">
        <v>2000</v>
      </c>
      <c r="E23">
        <v>1428.5714285714287</v>
      </c>
      <c r="F23">
        <v>40</v>
      </c>
      <c r="G23" t="s">
        <v>11</v>
      </c>
      <c r="H23">
        <v>0.71</v>
      </c>
      <c r="I23">
        <v>0.87</v>
      </c>
      <c r="J23">
        <v>0.94</v>
      </c>
    </row>
    <row r="24" spans="1:10" x14ac:dyDescent="0.25">
      <c r="A24" s="29">
        <v>44986</v>
      </c>
      <c r="B24" t="s">
        <v>17</v>
      </c>
      <c r="C24">
        <v>8571.4285714285706</v>
      </c>
      <c r="D24">
        <v>2000</v>
      </c>
      <c r="E24">
        <v>1428.5714285714287</v>
      </c>
      <c r="F24">
        <v>43</v>
      </c>
      <c r="G24" t="s">
        <v>11</v>
      </c>
      <c r="H24">
        <v>0.9</v>
      </c>
      <c r="I24">
        <v>0.72</v>
      </c>
      <c r="J24">
        <v>0.94</v>
      </c>
    </row>
    <row r="25" spans="1:10" x14ac:dyDescent="0.25">
      <c r="A25" s="29">
        <v>45017</v>
      </c>
      <c r="B25" t="s">
        <v>10</v>
      </c>
      <c r="C25">
        <v>7857.1428571428569</v>
      </c>
      <c r="D25">
        <v>3000</v>
      </c>
      <c r="E25">
        <v>5714.2857142857147</v>
      </c>
      <c r="F25">
        <v>100</v>
      </c>
      <c r="G25" t="s">
        <v>18</v>
      </c>
      <c r="H25">
        <v>0.89</v>
      </c>
      <c r="I25">
        <v>0.85</v>
      </c>
      <c r="J25">
        <v>0.87</v>
      </c>
    </row>
    <row r="26" spans="1:10" x14ac:dyDescent="0.25">
      <c r="A26" s="29">
        <v>45017</v>
      </c>
      <c r="B26" t="s">
        <v>12</v>
      </c>
      <c r="C26">
        <v>7857.1428571428569</v>
      </c>
      <c r="D26">
        <v>4500</v>
      </c>
      <c r="E26">
        <v>5714.2857142857147</v>
      </c>
      <c r="F26">
        <v>100</v>
      </c>
      <c r="G26" t="s">
        <v>18</v>
      </c>
      <c r="H26">
        <v>0.89</v>
      </c>
      <c r="I26">
        <v>0.8</v>
      </c>
      <c r="J26">
        <v>0.88</v>
      </c>
    </row>
    <row r="27" spans="1:10" x14ac:dyDescent="0.25">
      <c r="A27" s="29">
        <v>45017</v>
      </c>
      <c r="B27" t="s">
        <v>13</v>
      </c>
      <c r="C27">
        <v>7857.1428571428569</v>
      </c>
      <c r="D27">
        <v>5500</v>
      </c>
      <c r="E27">
        <v>5714.2857142857147</v>
      </c>
      <c r="F27">
        <v>100</v>
      </c>
      <c r="G27" t="s">
        <v>18</v>
      </c>
      <c r="H27">
        <v>0.98</v>
      </c>
      <c r="I27">
        <v>0.99</v>
      </c>
      <c r="J27">
        <v>0.81</v>
      </c>
    </row>
    <row r="28" spans="1:10" x14ac:dyDescent="0.25">
      <c r="A28" s="29">
        <v>45017</v>
      </c>
      <c r="B28" t="s">
        <v>14</v>
      </c>
      <c r="C28">
        <v>7857.1428571428569</v>
      </c>
      <c r="D28">
        <v>10000</v>
      </c>
      <c r="E28">
        <v>5714.2857142857147</v>
      </c>
      <c r="F28">
        <v>100</v>
      </c>
      <c r="G28" t="s">
        <v>18</v>
      </c>
      <c r="H28">
        <v>0.81</v>
      </c>
      <c r="I28">
        <v>0.91</v>
      </c>
      <c r="J28">
        <v>0.95</v>
      </c>
    </row>
    <row r="29" spans="1:10" x14ac:dyDescent="0.25">
      <c r="A29" s="29">
        <v>45017</v>
      </c>
      <c r="B29" t="s">
        <v>15</v>
      </c>
      <c r="C29">
        <v>7857.1428571428569</v>
      </c>
      <c r="D29">
        <v>2000</v>
      </c>
      <c r="E29">
        <v>5714.2857142857147</v>
      </c>
      <c r="F29">
        <v>100</v>
      </c>
      <c r="G29" t="s">
        <v>18</v>
      </c>
      <c r="H29">
        <v>0.97</v>
      </c>
      <c r="I29">
        <v>0.85</v>
      </c>
      <c r="J29">
        <v>0.85</v>
      </c>
    </row>
    <row r="30" spans="1:10" x14ac:dyDescent="0.25">
      <c r="A30" s="29">
        <v>45017</v>
      </c>
      <c r="B30" t="s">
        <v>16</v>
      </c>
      <c r="C30">
        <v>7857.1428571428569</v>
      </c>
      <c r="D30">
        <v>2000</v>
      </c>
      <c r="E30">
        <v>5714.2857142857147</v>
      </c>
      <c r="F30">
        <v>100</v>
      </c>
      <c r="G30" t="s">
        <v>18</v>
      </c>
      <c r="H30">
        <v>0.89</v>
      </c>
      <c r="I30">
        <v>0.94</v>
      </c>
      <c r="J30">
        <v>0.8</v>
      </c>
    </row>
    <row r="31" spans="1:10" x14ac:dyDescent="0.25">
      <c r="A31" s="29">
        <v>45017</v>
      </c>
      <c r="B31" t="s">
        <v>17</v>
      </c>
      <c r="C31">
        <v>7857.1428571428569</v>
      </c>
      <c r="D31">
        <v>2000</v>
      </c>
      <c r="E31">
        <v>5714.2857142857147</v>
      </c>
      <c r="F31">
        <v>100</v>
      </c>
      <c r="G31" t="s">
        <v>18</v>
      </c>
      <c r="H31">
        <v>0.88</v>
      </c>
      <c r="I31">
        <v>0.94</v>
      </c>
      <c r="J31">
        <v>0.7</v>
      </c>
    </row>
    <row r="32" spans="1:10" x14ac:dyDescent="0.25">
      <c r="A32" s="29">
        <v>45047</v>
      </c>
      <c r="B32" t="s">
        <v>10</v>
      </c>
      <c r="C32">
        <v>11428.571428571429</v>
      </c>
      <c r="D32">
        <v>20000</v>
      </c>
      <c r="E32">
        <v>2857.1428571428573</v>
      </c>
      <c r="F32">
        <v>90</v>
      </c>
      <c r="G32" t="s">
        <v>18</v>
      </c>
      <c r="H32">
        <v>0.75</v>
      </c>
      <c r="I32">
        <v>0.77</v>
      </c>
      <c r="J32">
        <v>0.84</v>
      </c>
    </row>
    <row r="33" spans="1:10" x14ac:dyDescent="0.25">
      <c r="A33" s="29">
        <v>45047</v>
      </c>
      <c r="B33" t="s">
        <v>12</v>
      </c>
      <c r="C33">
        <v>11428.571428571429</v>
      </c>
      <c r="D33">
        <v>17000</v>
      </c>
      <c r="E33">
        <v>2857.1428571428573</v>
      </c>
      <c r="F33">
        <v>80</v>
      </c>
      <c r="G33" t="s">
        <v>18</v>
      </c>
      <c r="H33">
        <v>0.73</v>
      </c>
      <c r="I33">
        <v>0.96</v>
      </c>
      <c r="J33">
        <v>0.93</v>
      </c>
    </row>
    <row r="34" spans="1:10" x14ac:dyDescent="0.25">
      <c r="A34" s="29">
        <v>45047</v>
      </c>
      <c r="B34" t="s">
        <v>13</v>
      </c>
      <c r="C34">
        <v>11428.571428571429</v>
      </c>
      <c r="D34">
        <v>16000</v>
      </c>
      <c r="E34">
        <v>2857.1428571428573</v>
      </c>
      <c r="F34">
        <v>90</v>
      </c>
      <c r="G34" t="s">
        <v>18</v>
      </c>
      <c r="H34">
        <v>0.93</v>
      </c>
      <c r="I34">
        <v>0.74</v>
      </c>
      <c r="J34">
        <v>0.93</v>
      </c>
    </row>
    <row r="35" spans="1:10" x14ac:dyDescent="0.25">
      <c r="A35" s="29">
        <v>45047</v>
      </c>
      <c r="B35" t="s">
        <v>14</v>
      </c>
      <c r="C35">
        <v>11428.571428571429</v>
      </c>
      <c r="D35">
        <v>12000</v>
      </c>
      <c r="E35">
        <v>2857.1428571428573</v>
      </c>
      <c r="F35">
        <v>110</v>
      </c>
      <c r="G35" t="s">
        <v>18</v>
      </c>
      <c r="H35">
        <v>0.85</v>
      </c>
      <c r="I35">
        <v>0.7</v>
      </c>
      <c r="J35">
        <v>0.99</v>
      </c>
    </row>
    <row r="36" spans="1:10" x14ac:dyDescent="0.25">
      <c r="A36" s="29">
        <v>45047</v>
      </c>
      <c r="B36" t="s">
        <v>15</v>
      </c>
      <c r="C36">
        <v>11428.571428571429</v>
      </c>
      <c r="D36">
        <v>20500</v>
      </c>
      <c r="E36">
        <v>2857.1428571428573</v>
      </c>
      <c r="F36">
        <v>90</v>
      </c>
      <c r="G36" t="s">
        <v>18</v>
      </c>
      <c r="H36">
        <v>0.92</v>
      </c>
      <c r="I36">
        <v>0.99</v>
      </c>
      <c r="J36">
        <v>0.88</v>
      </c>
    </row>
    <row r="37" spans="1:10" x14ac:dyDescent="0.25">
      <c r="A37" s="29">
        <v>45047</v>
      </c>
      <c r="B37" t="s">
        <v>16</v>
      </c>
      <c r="C37">
        <v>11428.571428571429</v>
      </c>
      <c r="D37">
        <v>21000</v>
      </c>
      <c r="E37">
        <v>2857.1428571428573</v>
      </c>
      <c r="F37">
        <v>100</v>
      </c>
      <c r="G37" t="s">
        <v>18</v>
      </c>
      <c r="H37">
        <v>0.75</v>
      </c>
      <c r="I37">
        <v>0.97</v>
      </c>
      <c r="J37">
        <v>0.83</v>
      </c>
    </row>
    <row r="38" spans="1:10" x14ac:dyDescent="0.25">
      <c r="A38" s="29">
        <v>45047</v>
      </c>
      <c r="B38" t="s">
        <v>17</v>
      </c>
      <c r="C38">
        <v>11428.571428571429</v>
      </c>
      <c r="D38">
        <v>21500</v>
      </c>
      <c r="E38">
        <v>2857.1428571428573</v>
      </c>
      <c r="F38">
        <v>90</v>
      </c>
      <c r="G38" t="s">
        <v>18</v>
      </c>
      <c r="H38">
        <v>0.77</v>
      </c>
      <c r="I38">
        <v>0.97</v>
      </c>
      <c r="J38">
        <v>0.78</v>
      </c>
    </row>
    <row r="39" spans="1:10" x14ac:dyDescent="0.25">
      <c r="A39" s="29">
        <v>45078</v>
      </c>
      <c r="B39" t="s">
        <v>10</v>
      </c>
      <c r="C39">
        <v>14285.714285714286</v>
      </c>
      <c r="D39">
        <v>22000</v>
      </c>
      <c r="E39">
        <v>857.14285714285711</v>
      </c>
      <c r="F39">
        <v>228</v>
      </c>
      <c r="G39" t="s">
        <v>18</v>
      </c>
      <c r="H39">
        <v>0.79</v>
      </c>
      <c r="I39">
        <v>0.75</v>
      </c>
      <c r="J39">
        <v>0.93</v>
      </c>
    </row>
    <row r="40" spans="1:10" x14ac:dyDescent="0.25">
      <c r="A40" s="29">
        <v>45078</v>
      </c>
      <c r="B40" t="s">
        <v>12</v>
      </c>
      <c r="C40">
        <v>14285.714285714286</v>
      </c>
      <c r="D40">
        <v>18000</v>
      </c>
      <c r="E40">
        <v>857.14285714285711</v>
      </c>
      <c r="F40">
        <v>220</v>
      </c>
      <c r="G40" t="s">
        <v>18</v>
      </c>
      <c r="H40">
        <v>0.81</v>
      </c>
      <c r="I40">
        <v>0.98</v>
      </c>
      <c r="J40">
        <v>0.86</v>
      </c>
    </row>
    <row r="41" spans="1:10" x14ac:dyDescent="0.25">
      <c r="A41" s="29">
        <v>45078</v>
      </c>
      <c r="B41" t="s">
        <v>13</v>
      </c>
      <c r="C41">
        <v>14285.714285714286</v>
      </c>
      <c r="D41">
        <v>18500</v>
      </c>
      <c r="E41">
        <v>857.14285714285711</v>
      </c>
      <c r="F41">
        <v>228</v>
      </c>
      <c r="G41" t="s">
        <v>18</v>
      </c>
      <c r="H41">
        <v>0.86</v>
      </c>
      <c r="I41">
        <v>0.82</v>
      </c>
      <c r="J41">
        <v>0.86</v>
      </c>
    </row>
    <row r="42" spans="1:10" x14ac:dyDescent="0.25">
      <c r="A42" s="29">
        <v>45078</v>
      </c>
      <c r="B42" t="s">
        <v>14</v>
      </c>
      <c r="C42">
        <v>14285.714285714286</v>
      </c>
      <c r="D42">
        <v>14314</v>
      </c>
      <c r="E42">
        <v>857.14285714285711</v>
      </c>
      <c r="F42">
        <v>238</v>
      </c>
      <c r="G42" t="s">
        <v>18</v>
      </c>
      <c r="H42">
        <v>0.72</v>
      </c>
      <c r="I42">
        <v>0.95</v>
      </c>
      <c r="J42">
        <v>0.9</v>
      </c>
    </row>
    <row r="43" spans="1:10" x14ac:dyDescent="0.25">
      <c r="A43" s="29">
        <v>45078</v>
      </c>
      <c r="B43" t="s">
        <v>15</v>
      </c>
      <c r="C43">
        <v>14285.714285714286</v>
      </c>
      <c r="D43">
        <v>21000</v>
      </c>
      <c r="E43">
        <v>857.14285714285711</v>
      </c>
      <c r="F43">
        <v>228</v>
      </c>
      <c r="G43" t="s">
        <v>18</v>
      </c>
      <c r="H43">
        <v>0.71</v>
      </c>
      <c r="I43">
        <v>0.8</v>
      </c>
      <c r="J43">
        <v>0.76</v>
      </c>
    </row>
    <row r="44" spans="1:10" x14ac:dyDescent="0.25">
      <c r="A44" s="29">
        <v>45078</v>
      </c>
      <c r="B44" t="s">
        <v>16</v>
      </c>
      <c r="C44">
        <v>14285.714285714286</v>
      </c>
      <c r="D44">
        <v>22500</v>
      </c>
      <c r="E44">
        <v>857.14285714285711</v>
      </c>
      <c r="F44">
        <v>230</v>
      </c>
      <c r="G44" t="s">
        <v>18</v>
      </c>
      <c r="H44">
        <v>0.97</v>
      </c>
      <c r="I44">
        <v>0.95</v>
      </c>
      <c r="J44">
        <v>0.85</v>
      </c>
    </row>
    <row r="45" spans="1:10" x14ac:dyDescent="0.25">
      <c r="A45" s="29">
        <v>45078</v>
      </c>
      <c r="B45" t="s">
        <v>17</v>
      </c>
      <c r="C45">
        <v>14285.714285714286</v>
      </c>
      <c r="D45">
        <v>22900</v>
      </c>
      <c r="E45">
        <v>857.14285714285711</v>
      </c>
      <c r="F45">
        <v>228</v>
      </c>
      <c r="G45" t="s">
        <v>18</v>
      </c>
      <c r="H45">
        <v>0.95</v>
      </c>
      <c r="I45">
        <v>0.85</v>
      </c>
      <c r="J45">
        <v>0.91</v>
      </c>
    </row>
    <row r="46" spans="1:10" x14ac:dyDescent="0.25">
      <c r="A46" s="29">
        <v>45108</v>
      </c>
      <c r="B46" t="s">
        <v>10</v>
      </c>
      <c r="C46">
        <v>18562.957142857143</v>
      </c>
      <c r="D46">
        <v>25000</v>
      </c>
      <c r="E46">
        <v>714.28571428571433</v>
      </c>
      <c r="F46">
        <v>250</v>
      </c>
      <c r="G46" t="s">
        <v>19</v>
      </c>
      <c r="H46">
        <v>0.97</v>
      </c>
      <c r="I46">
        <v>0.7</v>
      </c>
      <c r="J46">
        <v>0.93</v>
      </c>
    </row>
    <row r="47" spans="1:10" x14ac:dyDescent="0.25">
      <c r="A47" s="29">
        <v>45108</v>
      </c>
      <c r="B47" t="s">
        <v>12</v>
      </c>
      <c r="C47">
        <v>18562.957142857143</v>
      </c>
      <c r="D47">
        <v>22000</v>
      </c>
      <c r="E47">
        <v>714.28571428571433</v>
      </c>
      <c r="F47">
        <v>240</v>
      </c>
      <c r="G47" t="s">
        <v>19</v>
      </c>
      <c r="H47">
        <v>0.9</v>
      </c>
      <c r="I47">
        <v>0.98</v>
      </c>
      <c r="J47">
        <v>0.96</v>
      </c>
    </row>
    <row r="48" spans="1:10" x14ac:dyDescent="0.25">
      <c r="A48" s="29">
        <v>45108</v>
      </c>
      <c r="B48" t="s">
        <v>13</v>
      </c>
      <c r="C48">
        <v>18562.957142857143</v>
      </c>
      <c r="D48">
        <v>25000</v>
      </c>
      <c r="E48">
        <v>714.28571428571433</v>
      </c>
      <c r="F48">
        <v>270</v>
      </c>
      <c r="G48" t="s">
        <v>19</v>
      </c>
      <c r="H48">
        <v>0.9</v>
      </c>
      <c r="I48">
        <v>0.95</v>
      </c>
      <c r="J48">
        <v>0.98</v>
      </c>
    </row>
    <row r="49" spans="1:10" x14ac:dyDescent="0.25">
      <c r="A49" s="29">
        <v>45108</v>
      </c>
      <c r="B49" t="s">
        <v>14</v>
      </c>
      <c r="C49">
        <v>18562.957142857143</v>
      </c>
      <c r="D49">
        <v>25000</v>
      </c>
      <c r="E49">
        <v>714.28571428571433</v>
      </c>
      <c r="F49">
        <v>259</v>
      </c>
      <c r="G49" t="s">
        <v>19</v>
      </c>
      <c r="H49">
        <v>0.96</v>
      </c>
      <c r="I49">
        <v>0.81</v>
      </c>
      <c r="J49">
        <v>0.85</v>
      </c>
    </row>
    <row r="50" spans="1:10" x14ac:dyDescent="0.25">
      <c r="A50" s="29">
        <v>45108</v>
      </c>
      <c r="B50" t="s">
        <v>15</v>
      </c>
      <c r="C50">
        <v>18562.957142857143</v>
      </c>
      <c r="D50">
        <v>25000</v>
      </c>
      <c r="E50">
        <v>714.28571428571433</v>
      </c>
      <c r="F50">
        <v>260</v>
      </c>
      <c r="G50" t="s">
        <v>19</v>
      </c>
      <c r="H50">
        <v>0.98</v>
      </c>
      <c r="I50">
        <v>0.84</v>
      </c>
      <c r="J50">
        <v>0.89</v>
      </c>
    </row>
    <row r="51" spans="1:10" x14ac:dyDescent="0.25">
      <c r="A51" s="29">
        <v>45108</v>
      </c>
      <c r="B51" t="s">
        <v>16</v>
      </c>
      <c r="C51">
        <v>18562.957142857143</v>
      </c>
      <c r="D51">
        <v>25000</v>
      </c>
      <c r="E51">
        <v>714.28571428571433</v>
      </c>
      <c r="F51">
        <v>260</v>
      </c>
      <c r="G51" t="s">
        <v>19</v>
      </c>
      <c r="H51">
        <v>0.76</v>
      </c>
      <c r="I51">
        <v>0.7</v>
      </c>
      <c r="J51">
        <v>0.86</v>
      </c>
    </row>
    <row r="52" spans="1:10" x14ac:dyDescent="0.25">
      <c r="A52" s="29">
        <v>45108</v>
      </c>
      <c r="B52" t="s">
        <v>17</v>
      </c>
      <c r="C52">
        <v>18562.957142857143</v>
      </c>
      <c r="D52">
        <v>25000</v>
      </c>
      <c r="E52">
        <v>714.28571428571433</v>
      </c>
      <c r="F52">
        <v>261</v>
      </c>
      <c r="G52" t="s">
        <v>19</v>
      </c>
      <c r="H52">
        <v>0.91</v>
      </c>
      <c r="I52">
        <v>0.77</v>
      </c>
      <c r="J52">
        <v>0.75</v>
      </c>
    </row>
    <row r="53" spans="1:10" x14ac:dyDescent="0.25">
      <c r="A53" s="29">
        <v>45139</v>
      </c>
      <c r="B53" t="s">
        <v>10</v>
      </c>
      <c r="C53">
        <v>18571.428571428572</v>
      </c>
      <c r="D53">
        <v>25000</v>
      </c>
      <c r="E53">
        <v>714.28571428571433</v>
      </c>
      <c r="F53">
        <v>242</v>
      </c>
      <c r="G53" t="s">
        <v>19</v>
      </c>
      <c r="H53">
        <v>0.79</v>
      </c>
      <c r="I53">
        <v>0.81</v>
      </c>
      <c r="J53">
        <v>0.74</v>
      </c>
    </row>
    <row r="54" spans="1:10" x14ac:dyDescent="0.25">
      <c r="A54" s="29">
        <v>45139</v>
      </c>
      <c r="B54" t="s">
        <v>12</v>
      </c>
      <c r="C54">
        <v>18571.428571428572</v>
      </c>
      <c r="D54">
        <v>22500</v>
      </c>
      <c r="E54">
        <v>714.28571428571433</v>
      </c>
      <c r="F54">
        <v>250</v>
      </c>
      <c r="G54" t="s">
        <v>19</v>
      </c>
      <c r="H54">
        <v>0.85</v>
      </c>
      <c r="I54">
        <v>0.82</v>
      </c>
      <c r="J54">
        <v>0.73</v>
      </c>
    </row>
    <row r="55" spans="1:10" x14ac:dyDescent="0.25">
      <c r="A55" s="29">
        <v>45139</v>
      </c>
      <c r="B55" t="s">
        <v>13</v>
      </c>
      <c r="C55">
        <v>18571.428571428572</v>
      </c>
      <c r="D55">
        <v>25000</v>
      </c>
      <c r="E55">
        <v>714.28571428571433</v>
      </c>
      <c r="F55">
        <v>242</v>
      </c>
      <c r="G55" t="s">
        <v>19</v>
      </c>
      <c r="H55">
        <v>0.88</v>
      </c>
      <c r="I55">
        <v>0.84</v>
      </c>
      <c r="J55">
        <v>0.75</v>
      </c>
    </row>
    <row r="56" spans="1:10" x14ac:dyDescent="0.25">
      <c r="A56" s="29">
        <v>45139</v>
      </c>
      <c r="B56" t="s">
        <v>14</v>
      </c>
      <c r="C56">
        <v>18571.428571428572</v>
      </c>
      <c r="D56">
        <v>25000</v>
      </c>
      <c r="E56">
        <v>714.28571428571433</v>
      </c>
      <c r="F56">
        <v>242</v>
      </c>
      <c r="G56" t="s">
        <v>19</v>
      </c>
      <c r="H56">
        <v>0.81</v>
      </c>
      <c r="I56">
        <v>0.92</v>
      </c>
      <c r="J56">
        <v>0.91</v>
      </c>
    </row>
    <row r="57" spans="1:10" x14ac:dyDescent="0.25">
      <c r="A57" s="29">
        <v>45139</v>
      </c>
      <c r="B57" t="s">
        <v>15</v>
      </c>
      <c r="C57">
        <v>18571.428571428572</v>
      </c>
      <c r="D57">
        <v>25000</v>
      </c>
      <c r="E57">
        <v>714.28571428571433</v>
      </c>
      <c r="F57">
        <v>242</v>
      </c>
      <c r="G57" t="s">
        <v>19</v>
      </c>
      <c r="H57">
        <v>0.84</v>
      </c>
      <c r="I57">
        <v>0.73</v>
      </c>
      <c r="J57">
        <v>0.99</v>
      </c>
    </row>
    <row r="58" spans="1:10" x14ac:dyDescent="0.25">
      <c r="A58" s="29">
        <v>45139</v>
      </c>
      <c r="B58" t="s">
        <v>16</v>
      </c>
      <c r="C58">
        <v>18571.428571428572</v>
      </c>
      <c r="D58">
        <v>25000</v>
      </c>
      <c r="E58">
        <v>714.28571428571433</v>
      </c>
      <c r="F58">
        <v>240</v>
      </c>
      <c r="G58" t="s">
        <v>19</v>
      </c>
      <c r="H58">
        <v>0.93</v>
      </c>
      <c r="I58">
        <v>0.79</v>
      </c>
      <c r="J58">
        <v>0.72</v>
      </c>
    </row>
    <row r="59" spans="1:10" x14ac:dyDescent="0.25">
      <c r="A59" s="29">
        <v>45139</v>
      </c>
      <c r="B59" t="s">
        <v>17</v>
      </c>
      <c r="C59">
        <v>18571.428571428572</v>
      </c>
      <c r="D59">
        <v>25000</v>
      </c>
      <c r="E59">
        <v>714.28571428571433</v>
      </c>
      <c r="F59">
        <v>242</v>
      </c>
      <c r="G59" t="s">
        <v>19</v>
      </c>
      <c r="H59">
        <v>0.84</v>
      </c>
      <c r="I59">
        <v>0.79</v>
      </c>
      <c r="J59">
        <v>0.8</v>
      </c>
    </row>
    <row r="60" spans="1:10" x14ac:dyDescent="0.25">
      <c r="A60" s="29">
        <v>45170</v>
      </c>
      <c r="B60" t="s">
        <v>10</v>
      </c>
      <c r="C60">
        <v>17857.142857142859</v>
      </c>
      <c r="D60">
        <v>22500</v>
      </c>
      <c r="E60">
        <v>285.71428571428572</v>
      </c>
      <c r="F60">
        <v>285</v>
      </c>
      <c r="G60" t="s">
        <v>19</v>
      </c>
      <c r="H60">
        <v>0.85</v>
      </c>
      <c r="I60">
        <v>0.91</v>
      </c>
      <c r="J60">
        <v>0.84</v>
      </c>
    </row>
    <row r="61" spans="1:10" x14ac:dyDescent="0.25">
      <c r="A61" s="29">
        <v>45170</v>
      </c>
      <c r="B61" t="s">
        <v>12</v>
      </c>
      <c r="C61">
        <v>17857.142857142859</v>
      </c>
      <c r="D61">
        <v>21500</v>
      </c>
      <c r="E61">
        <v>285.71428571428572</v>
      </c>
      <c r="F61">
        <v>275</v>
      </c>
      <c r="G61" t="s">
        <v>19</v>
      </c>
      <c r="H61">
        <v>0.86</v>
      </c>
      <c r="I61">
        <v>0.75</v>
      </c>
      <c r="J61">
        <v>0.96</v>
      </c>
    </row>
    <row r="62" spans="1:10" x14ac:dyDescent="0.25">
      <c r="A62" s="29">
        <v>45170</v>
      </c>
      <c r="B62" t="s">
        <v>13</v>
      </c>
      <c r="C62">
        <v>17857.142857142859</v>
      </c>
      <c r="D62">
        <v>24000</v>
      </c>
      <c r="E62">
        <v>285.71428571428572</v>
      </c>
      <c r="F62">
        <v>285</v>
      </c>
      <c r="G62" t="s">
        <v>19</v>
      </c>
      <c r="H62">
        <v>0.96</v>
      </c>
      <c r="I62">
        <v>0.77</v>
      </c>
      <c r="J62">
        <v>0.92</v>
      </c>
    </row>
    <row r="63" spans="1:10" x14ac:dyDescent="0.25">
      <c r="A63" s="29">
        <v>45170</v>
      </c>
      <c r="B63" t="s">
        <v>14</v>
      </c>
      <c r="C63">
        <v>17857.142857142859</v>
      </c>
      <c r="D63">
        <v>24500</v>
      </c>
      <c r="E63">
        <v>285.71428571428572</v>
      </c>
      <c r="F63">
        <v>290</v>
      </c>
      <c r="G63" t="s">
        <v>19</v>
      </c>
      <c r="H63">
        <v>0.99</v>
      </c>
      <c r="I63">
        <v>0.97</v>
      </c>
      <c r="J63">
        <v>0.73</v>
      </c>
    </row>
    <row r="64" spans="1:10" x14ac:dyDescent="0.25">
      <c r="A64" s="29">
        <v>45170</v>
      </c>
      <c r="B64" t="s">
        <v>15</v>
      </c>
      <c r="C64">
        <v>17857.142857142859</v>
      </c>
      <c r="D64">
        <v>24500</v>
      </c>
      <c r="E64">
        <v>285.71428571428572</v>
      </c>
      <c r="F64">
        <v>310</v>
      </c>
      <c r="G64" t="s">
        <v>19</v>
      </c>
      <c r="H64">
        <v>0.77</v>
      </c>
      <c r="I64">
        <v>0.72</v>
      </c>
      <c r="J64">
        <v>0.85</v>
      </c>
    </row>
    <row r="65" spans="1:10" x14ac:dyDescent="0.25">
      <c r="A65" s="29">
        <v>45170</v>
      </c>
      <c r="B65" t="s">
        <v>16</v>
      </c>
      <c r="C65">
        <v>17857.142857142859</v>
      </c>
      <c r="D65">
        <v>24500</v>
      </c>
      <c r="E65">
        <v>285.71428571428572</v>
      </c>
      <c r="F65">
        <v>270</v>
      </c>
      <c r="G65" t="s">
        <v>19</v>
      </c>
      <c r="H65">
        <v>0.77</v>
      </c>
      <c r="I65">
        <v>0.96</v>
      </c>
      <c r="J65">
        <v>0.78</v>
      </c>
    </row>
    <row r="66" spans="1:10" x14ac:dyDescent="0.25">
      <c r="A66" s="29">
        <v>45170</v>
      </c>
      <c r="B66" t="s">
        <v>17</v>
      </c>
      <c r="C66">
        <v>17857.142857142859</v>
      </c>
      <c r="D66">
        <v>24500</v>
      </c>
      <c r="E66">
        <v>285.71428571428572</v>
      </c>
      <c r="F66">
        <v>285</v>
      </c>
      <c r="G66" t="s">
        <v>19</v>
      </c>
      <c r="H66">
        <v>0.78</v>
      </c>
      <c r="I66">
        <v>0.8</v>
      </c>
      <c r="J66">
        <v>0.85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D9CF5-C963-43AD-849F-8F0DD29AFCCD}">
  <dimension ref="A1:J66"/>
  <sheetViews>
    <sheetView workbookViewId="0">
      <selection activeCell="A3" sqref="A3:J66"/>
    </sheetView>
  </sheetViews>
  <sheetFormatPr defaultRowHeight="15.75" x14ac:dyDescent="0.25"/>
  <cols>
    <col min="1" max="1" width="9.125" bestFit="1" customWidth="1"/>
    <col min="2" max="2" width="10.625" bestFit="1" customWidth="1"/>
    <col min="3" max="4" width="9.125" bestFit="1" customWidth="1"/>
    <col min="5" max="5" width="13.125" bestFit="1" customWidth="1"/>
    <col min="6" max="6" width="11.75" bestFit="1" customWidth="1"/>
    <col min="7" max="7" width="9.625" bestFit="1" customWidth="1"/>
    <col min="8" max="8" width="22.125" bestFit="1" customWidth="1"/>
    <col min="9" max="9" width="22.75" bestFit="1" customWidth="1"/>
    <col min="10" max="10" width="26.125" bestFit="1" customWidth="1"/>
  </cols>
  <sheetData>
    <row r="1" spans="1:10" x14ac:dyDescent="0.25">
      <c r="A1" s="30" t="s">
        <v>42</v>
      </c>
    </row>
    <row r="3" spans="1:10" x14ac:dyDescent="0.25">
      <c r="A3" t="s">
        <v>0</v>
      </c>
      <c r="B3" t="s">
        <v>1</v>
      </c>
      <c r="C3" t="s">
        <v>2</v>
      </c>
      <c r="D3" t="s">
        <v>3</v>
      </c>
      <c r="E3" t="s">
        <v>4</v>
      </c>
      <c r="F3" t="s">
        <v>5</v>
      </c>
      <c r="G3" t="s">
        <v>6</v>
      </c>
      <c r="H3" t="s">
        <v>7</v>
      </c>
      <c r="I3" t="s">
        <v>8</v>
      </c>
      <c r="J3" t="s">
        <v>9</v>
      </c>
    </row>
    <row r="4" spans="1:10" x14ac:dyDescent="0.25">
      <c r="A4" s="29">
        <v>44927</v>
      </c>
      <c r="B4" t="s">
        <v>10</v>
      </c>
      <c r="C4">
        <v>5000</v>
      </c>
      <c r="D4">
        <v>2581</v>
      </c>
      <c r="E4">
        <v>2857.1428571428573</v>
      </c>
      <c r="F4">
        <v>80</v>
      </c>
      <c r="G4" t="s">
        <v>11</v>
      </c>
      <c r="H4">
        <v>0.89</v>
      </c>
      <c r="I4">
        <v>0.85</v>
      </c>
      <c r="J4">
        <v>0.72</v>
      </c>
    </row>
    <row r="5" spans="1:10" x14ac:dyDescent="0.25">
      <c r="A5" s="29">
        <v>44927</v>
      </c>
      <c r="B5" t="s">
        <v>12</v>
      </c>
      <c r="C5">
        <v>3500</v>
      </c>
      <c r="D5">
        <v>3944</v>
      </c>
      <c r="E5">
        <v>2857.1428571428573</v>
      </c>
      <c r="F5">
        <v>30</v>
      </c>
      <c r="G5" t="s">
        <v>11</v>
      </c>
      <c r="H5">
        <v>0.94</v>
      </c>
      <c r="I5">
        <v>0.95</v>
      </c>
      <c r="J5">
        <v>0.86</v>
      </c>
    </row>
    <row r="6" spans="1:10" x14ac:dyDescent="0.25">
      <c r="A6" s="29">
        <v>44927</v>
      </c>
      <c r="B6" t="s">
        <v>13</v>
      </c>
      <c r="C6">
        <v>1500</v>
      </c>
      <c r="D6">
        <v>3293</v>
      </c>
      <c r="E6">
        <v>2857.1428571428573</v>
      </c>
      <c r="F6">
        <v>15</v>
      </c>
      <c r="G6" t="s">
        <v>11</v>
      </c>
      <c r="H6">
        <v>0.82</v>
      </c>
      <c r="I6">
        <v>0.8</v>
      </c>
      <c r="J6">
        <v>0.76</v>
      </c>
    </row>
    <row r="7" spans="1:10" x14ac:dyDescent="0.25">
      <c r="A7" s="29">
        <v>44927</v>
      </c>
      <c r="B7" t="s">
        <v>14</v>
      </c>
      <c r="C7">
        <v>1500</v>
      </c>
      <c r="D7">
        <v>2019</v>
      </c>
      <c r="E7">
        <v>2857.1428571428573</v>
      </c>
      <c r="F7">
        <v>40</v>
      </c>
      <c r="G7" t="s">
        <v>11</v>
      </c>
      <c r="H7">
        <v>0.79</v>
      </c>
      <c r="I7">
        <v>0.79</v>
      </c>
      <c r="J7">
        <v>0.79</v>
      </c>
    </row>
    <row r="8" spans="1:10" x14ac:dyDescent="0.25">
      <c r="A8" s="29">
        <v>44927</v>
      </c>
      <c r="B8" t="s">
        <v>15</v>
      </c>
      <c r="C8">
        <v>6000</v>
      </c>
      <c r="D8">
        <v>2980</v>
      </c>
      <c r="E8">
        <v>2857.1428571428573</v>
      </c>
      <c r="F8">
        <v>100</v>
      </c>
      <c r="G8" t="s">
        <v>11</v>
      </c>
      <c r="H8">
        <v>0.96</v>
      </c>
      <c r="I8">
        <v>0.79</v>
      </c>
      <c r="J8">
        <v>0.7</v>
      </c>
    </row>
    <row r="9" spans="1:10" x14ac:dyDescent="0.25">
      <c r="A9" s="29">
        <v>44927</v>
      </c>
      <c r="B9" t="s">
        <v>16</v>
      </c>
      <c r="C9">
        <v>2500</v>
      </c>
      <c r="D9">
        <v>2209</v>
      </c>
      <c r="E9">
        <v>2857.1428571428573</v>
      </c>
      <c r="F9">
        <v>15</v>
      </c>
      <c r="G9" t="s">
        <v>11</v>
      </c>
      <c r="H9">
        <v>0.79</v>
      </c>
      <c r="I9">
        <v>0.79</v>
      </c>
      <c r="J9">
        <v>0.77</v>
      </c>
    </row>
    <row r="10" spans="1:10" x14ac:dyDescent="0.25">
      <c r="A10" s="29">
        <v>44927</v>
      </c>
      <c r="B10" t="s">
        <v>17</v>
      </c>
      <c r="C10">
        <v>10000</v>
      </c>
      <c r="D10">
        <v>2440</v>
      </c>
      <c r="E10">
        <v>2857.1428571428573</v>
      </c>
      <c r="F10">
        <v>20</v>
      </c>
      <c r="G10" t="s">
        <v>11</v>
      </c>
      <c r="H10">
        <v>0.75</v>
      </c>
      <c r="I10">
        <v>0.72</v>
      </c>
      <c r="J10">
        <v>0.93</v>
      </c>
    </row>
    <row r="11" spans="1:10" x14ac:dyDescent="0.25">
      <c r="A11" s="29">
        <v>44958</v>
      </c>
      <c r="B11" t="s">
        <v>10</v>
      </c>
      <c r="C11">
        <v>5000</v>
      </c>
      <c r="D11">
        <v>2000</v>
      </c>
      <c r="E11">
        <v>1428.5714285714287</v>
      </c>
      <c r="F11">
        <v>90</v>
      </c>
      <c r="G11" t="s">
        <v>11</v>
      </c>
      <c r="H11">
        <v>0.92</v>
      </c>
      <c r="I11">
        <v>0.99</v>
      </c>
      <c r="J11">
        <v>0.74</v>
      </c>
    </row>
    <row r="12" spans="1:10" x14ac:dyDescent="0.25">
      <c r="A12" s="29">
        <v>44958</v>
      </c>
      <c r="B12" t="s">
        <v>12</v>
      </c>
      <c r="C12">
        <v>15000</v>
      </c>
      <c r="D12">
        <v>14431</v>
      </c>
      <c r="E12">
        <v>1428.5714285714287</v>
      </c>
      <c r="F12">
        <v>30</v>
      </c>
      <c r="G12" t="s">
        <v>11</v>
      </c>
      <c r="H12">
        <v>0.7</v>
      </c>
      <c r="I12">
        <v>0.99</v>
      </c>
      <c r="J12">
        <v>0.95</v>
      </c>
    </row>
    <row r="13" spans="1:10" x14ac:dyDescent="0.25">
      <c r="A13" s="29">
        <v>44958</v>
      </c>
      <c r="B13" t="s">
        <v>13</v>
      </c>
      <c r="C13">
        <v>1500</v>
      </c>
      <c r="D13">
        <v>3000</v>
      </c>
      <c r="E13">
        <v>1428.5714285714287</v>
      </c>
      <c r="F13">
        <v>15</v>
      </c>
      <c r="G13" t="s">
        <v>11</v>
      </c>
      <c r="H13">
        <v>0.91</v>
      </c>
      <c r="I13">
        <v>0.98</v>
      </c>
      <c r="J13">
        <v>0.89</v>
      </c>
    </row>
    <row r="14" spans="1:10" x14ac:dyDescent="0.25">
      <c r="A14" s="29">
        <v>44958</v>
      </c>
      <c r="B14" t="s">
        <v>14</v>
      </c>
      <c r="C14">
        <v>3500</v>
      </c>
      <c r="D14">
        <v>4000</v>
      </c>
      <c r="E14">
        <v>1428.5714285714287</v>
      </c>
      <c r="F14">
        <v>40</v>
      </c>
      <c r="G14" t="s">
        <v>11</v>
      </c>
      <c r="H14">
        <v>0.74</v>
      </c>
      <c r="I14">
        <v>0.85</v>
      </c>
      <c r="J14">
        <v>0.7</v>
      </c>
    </row>
    <row r="15" spans="1:10" x14ac:dyDescent="0.25">
      <c r="A15" s="29">
        <v>44958</v>
      </c>
      <c r="B15" t="s">
        <v>15</v>
      </c>
      <c r="C15">
        <v>6000</v>
      </c>
      <c r="D15">
        <v>2000</v>
      </c>
      <c r="E15">
        <v>1428.5714285714287</v>
      </c>
      <c r="F15">
        <v>100</v>
      </c>
      <c r="G15" t="s">
        <v>11</v>
      </c>
      <c r="H15">
        <v>0.9</v>
      </c>
      <c r="I15">
        <v>0.9</v>
      </c>
      <c r="J15">
        <v>0.72</v>
      </c>
    </row>
    <row r="16" spans="1:10" x14ac:dyDescent="0.25">
      <c r="A16" s="29">
        <v>44958</v>
      </c>
      <c r="B16" t="s">
        <v>16</v>
      </c>
      <c r="C16">
        <v>4000</v>
      </c>
      <c r="D16">
        <v>2000</v>
      </c>
      <c r="E16">
        <v>1428.5714285714287</v>
      </c>
      <c r="F16">
        <v>15</v>
      </c>
      <c r="G16" t="s">
        <v>11</v>
      </c>
      <c r="H16">
        <v>0.95</v>
      </c>
      <c r="I16">
        <v>0.97</v>
      </c>
      <c r="J16">
        <v>0.81</v>
      </c>
    </row>
    <row r="17" spans="1:10" x14ac:dyDescent="0.25">
      <c r="A17" s="29">
        <v>44958</v>
      </c>
      <c r="B17" t="s">
        <v>17</v>
      </c>
      <c r="C17">
        <v>10000</v>
      </c>
      <c r="D17">
        <v>2000</v>
      </c>
      <c r="E17">
        <v>1428.5714285714287</v>
      </c>
      <c r="F17">
        <v>20</v>
      </c>
      <c r="G17" t="s">
        <v>11</v>
      </c>
      <c r="H17">
        <v>0.99</v>
      </c>
      <c r="I17">
        <v>0.79</v>
      </c>
      <c r="J17">
        <v>0.75</v>
      </c>
    </row>
    <row r="18" spans="1:10" x14ac:dyDescent="0.25">
      <c r="A18" s="29">
        <v>44986</v>
      </c>
      <c r="B18" t="s">
        <v>10</v>
      </c>
      <c r="C18">
        <v>8571.4285714285706</v>
      </c>
      <c r="D18">
        <v>4000</v>
      </c>
      <c r="E18">
        <v>1428.5714285714287</v>
      </c>
      <c r="F18">
        <v>45</v>
      </c>
      <c r="G18" t="s">
        <v>11</v>
      </c>
      <c r="H18">
        <v>0.86</v>
      </c>
      <c r="I18">
        <v>0.97</v>
      </c>
      <c r="J18">
        <v>0.89</v>
      </c>
    </row>
    <row r="19" spans="1:10" x14ac:dyDescent="0.25">
      <c r="A19" s="29">
        <v>44986</v>
      </c>
      <c r="B19" t="s">
        <v>12</v>
      </c>
      <c r="C19">
        <v>8571.4285714285706</v>
      </c>
      <c r="D19">
        <v>6000</v>
      </c>
      <c r="E19">
        <v>1428.5714285714287</v>
      </c>
      <c r="F19">
        <v>43</v>
      </c>
      <c r="G19" t="s">
        <v>11</v>
      </c>
      <c r="H19">
        <v>0.83</v>
      </c>
      <c r="I19">
        <v>0.72</v>
      </c>
      <c r="J19">
        <v>0.74</v>
      </c>
    </row>
    <row r="20" spans="1:10" x14ac:dyDescent="0.25">
      <c r="A20" s="29">
        <v>44986</v>
      </c>
      <c r="B20" t="s">
        <v>13</v>
      </c>
      <c r="C20">
        <v>8571.4285714285706</v>
      </c>
      <c r="D20">
        <v>6500</v>
      </c>
      <c r="E20">
        <v>1428.5714285714287</v>
      </c>
      <c r="F20">
        <v>43</v>
      </c>
      <c r="G20" t="s">
        <v>11</v>
      </c>
      <c r="H20">
        <v>0.74</v>
      </c>
      <c r="I20">
        <v>0.78</v>
      </c>
      <c r="J20">
        <v>0.94</v>
      </c>
    </row>
    <row r="21" spans="1:10" x14ac:dyDescent="0.25">
      <c r="A21" s="29">
        <v>44986</v>
      </c>
      <c r="B21" t="s">
        <v>14</v>
      </c>
      <c r="C21">
        <v>8571.4285714285706</v>
      </c>
      <c r="D21">
        <v>12000</v>
      </c>
      <c r="E21">
        <v>1428.5714285714287</v>
      </c>
      <c r="F21">
        <v>43</v>
      </c>
      <c r="G21" t="s">
        <v>11</v>
      </c>
      <c r="H21">
        <v>0.8</v>
      </c>
      <c r="I21">
        <v>0.84</v>
      </c>
      <c r="J21">
        <v>0.81</v>
      </c>
    </row>
    <row r="22" spans="1:10" x14ac:dyDescent="0.25">
      <c r="A22" s="29">
        <v>44986</v>
      </c>
      <c r="B22" t="s">
        <v>15</v>
      </c>
      <c r="C22">
        <v>8571.4285714285706</v>
      </c>
      <c r="D22">
        <v>3000</v>
      </c>
      <c r="E22">
        <v>1428.5714285714287</v>
      </c>
      <c r="F22">
        <v>43</v>
      </c>
      <c r="G22" t="s">
        <v>11</v>
      </c>
      <c r="H22">
        <v>0.89</v>
      </c>
      <c r="I22">
        <v>0.99</v>
      </c>
      <c r="J22">
        <v>0.97</v>
      </c>
    </row>
    <row r="23" spans="1:10" x14ac:dyDescent="0.25">
      <c r="A23" s="29">
        <v>44986</v>
      </c>
      <c r="B23" t="s">
        <v>16</v>
      </c>
      <c r="C23">
        <v>8571.4285714285706</v>
      </c>
      <c r="D23">
        <v>2000</v>
      </c>
      <c r="E23">
        <v>1428.5714285714287</v>
      </c>
      <c r="F23">
        <v>40</v>
      </c>
      <c r="G23" t="s">
        <v>11</v>
      </c>
      <c r="H23">
        <v>0.71</v>
      </c>
      <c r="I23">
        <v>0.87</v>
      </c>
      <c r="J23">
        <v>0.94</v>
      </c>
    </row>
    <row r="24" spans="1:10" x14ac:dyDescent="0.25">
      <c r="A24" s="29">
        <v>44986</v>
      </c>
      <c r="B24" t="s">
        <v>17</v>
      </c>
      <c r="C24">
        <v>8571.4285714285706</v>
      </c>
      <c r="D24">
        <v>2000</v>
      </c>
      <c r="E24">
        <v>1428.5714285714287</v>
      </c>
      <c r="F24">
        <v>43</v>
      </c>
      <c r="G24" t="s">
        <v>11</v>
      </c>
      <c r="H24">
        <v>0.9</v>
      </c>
      <c r="I24">
        <v>0.72</v>
      </c>
      <c r="J24">
        <v>0.94</v>
      </c>
    </row>
    <row r="25" spans="1:10" x14ac:dyDescent="0.25">
      <c r="A25" s="29">
        <v>45017</v>
      </c>
      <c r="B25" t="s">
        <v>10</v>
      </c>
      <c r="C25">
        <v>7857.1428571428569</v>
      </c>
      <c r="D25">
        <v>3000</v>
      </c>
      <c r="E25">
        <v>5714.2857142857147</v>
      </c>
      <c r="F25">
        <v>100</v>
      </c>
      <c r="G25" t="s">
        <v>18</v>
      </c>
      <c r="H25">
        <v>0.89</v>
      </c>
      <c r="I25">
        <v>0.85</v>
      </c>
      <c r="J25">
        <v>0.87</v>
      </c>
    </row>
    <row r="26" spans="1:10" x14ac:dyDescent="0.25">
      <c r="A26" s="29">
        <v>45017</v>
      </c>
      <c r="B26" t="s">
        <v>12</v>
      </c>
      <c r="C26">
        <v>7857.1428571428569</v>
      </c>
      <c r="D26">
        <v>4500</v>
      </c>
      <c r="E26">
        <v>5714.2857142857147</v>
      </c>
      <c r="F26">
        <v>100</v>
      </c>
      <c r="G26" t="s">
        <v>18</v>
      </c>
      <c r="H26">
        <v>0.89</v>
      </c>
      <c r="I26">
        <v>0.8</v>
      </c>
      <c r="J26">
        <v>0.88</v>
      </c>
    </row>
    <row r="27" spans="1:10" x14ac:dyDescent="0.25">
      <c r="A27" s="29">
        <v>45017</v>
      </c>
      <c r="B27" t="s">
        <v>13</v>
      </c>
      <c r="C27">
        <v>7857.1428571428569</v>
      </c>
      <c r="D27">
        <v>5500</v>
      </c>
      <c r="E27">
        <v>5714.2857142857147</v>
      </c>
      <c r="F27">
        <v>100</v>
      </c>
      <c r="G27" t="s">
        <v>18</v>
      </c>
      <c r="H27">
        <v>0.98</v>
      </c>
      <c r="I27">
        <v>0.99</v>
      </c>
      <c r="J27">
        <v>0.81</v>
      </c>
    </row>
    <row r="28" spans="1:10" x14ac:dyDescent="0.25">
      <c r="A28" s="29">
        <v>45017</v>
      </c>
      <c r="B28" t="s">
        <v>14</v>
      </c>
      <c r="C28">
        <v>7857.1428571428569</v>
      </c>
      <c r="D28">
        <v>10000</v>
      </c>
      <c r="E28">
        <v>5714.2857142857147</v>
      </c>
      <c r="F28">
        <v>100</v>
      </c>
      <c r="G28" t="s">
        <v>18</v>
      </c>
      <c r="H28">
        <v>0.81</v>
      </c>
      <c r="I28">
        <v>0.91</v>
      </c>
      <c r="J28">
        <v>0.95</v>
      </c>
    </row>
    <row r="29" spans="1:10" x14ac:dyDescent="0.25">
      <c r="A29" s="29">
        <v>45017</v>
      </c>
      <c r="B29" t="s">
        <v>15</v>
      </c>
      <c r="C29">
        <v>7857.1428571428569</v>
      </c>
      <c r="D29">
        <v>2000</v>
      </c>
      <c r="E29">
        <v>5714.2857142857147</v>
      </c>
      <c r="F29">
        <v>100</v>
      </c>
      <c r="G29" t="s">
        <v>18</v>
      </c>
      <c r="H29">
        <v>0.97</v>
      </c>
      <c r="I29">
        <v>0.85</v>
      </c>
      <c r="J29">
        <v>0.85</v>
      </c>
    </row>
    <row r="30" spans="1:10" x14ac:dyDescent="0.25">
      <c r="A30" s="29">
        <v>45017</v>
      </c>
      <c r="B30" t="s">
        <v>16</v>
      </c>
      <c r="C30">
        <v>7857.1428571428569</v>
      </c>
      <c r="D30">
        <v>2000</v>
      </c>
      <c r="E30">
        <v>5714.2857142857147</v>
      </c>
      <c r="F30">
        <v>100</v>
      </c>
      <c r="G30" t="s">
        <v>18</v>
      </c>
      <c r="H30">
        <v>0.89</v>
      </c>
      <c r="I30">
        <v>0.94</v>
      </c>
      <c r="J30">
        <v>0.8</v>
      </c>
    </row>
    <row r="31" spans="1:10" x14ac:dyDescent="0.25">
      <c r="A31" s="29">
        <v>45017</v>
      </c>
      <c r="B31" t="s">
        <v>17</v>
      </c>
      <c r="C31">
        <v>7857.1428571428569</v>
      </c>
      <c r="D31">
        <v>2000</v>
      </c>
      <c r="E31">
        <v>5714.2857142857147</v>
      </c>
      <c r="F31">
        <v>100</v>
      </c>
      <c r="G31" t="s">
        <v>18</v>
      </c>
      <c r="H31">
        <v>0.88</v>
      </c>
      <c r="I31">
        <v>0.94</v>
      </c>
      <c r="J31">
        <v>0.7</v>
      </c>
    </row>
    <row r="32" spans="1:10" x14ac:dyDescent="0.25">
      <c r="A32" s="29">
        <v>45047</v>
      </c>
      <c r="B32" t="s">
        <v>10</v>
      </c>
      <c r="C32">
        <v>11428.571428571429</v>
      </c>
      <c r="D32">
        <v>20000</v>
      </c>
      <c r="E32">
        <v>2857.1428571428573</v>
      </c>
      <c r="F32">
        <v>90</v>
      </c>
      <c r="G32" t="s">
        <v>18</v>
      </c>
      <c r="H32">
        <v>0.75</v>
      </c>
      <c r="I32">
        <v>0.77</v>
      </c>
      <c r="J32">
        <v>0.84</v>
      </c>
    </row>
    <row r="33" spans="1:10" x14ac:dyDescent="0.25">
      <c r="A33" s="29">
        <v>45047</v>
      </c>
      <c r="B33" t="s">
        <v>12</v>
      </c>
      <c r="C33">
        <v>11428.571428571429</v>
      </c>
      <c r="D33">
        <v>17000</v>
      </c>
      <c r="E33">
        <v>2857.1428571428573</v>
      </c>
      <c r="F33">
        <v>80</v>
      </c>
      <c r="G33" t="s">
        <v>18</v>
      </c>
      <c r="H33">
        <v>0.73</v>
      </c>
      <c r="I33">
        <v>0.96</v>
      </c>
      <c r="J33">
        <v>0.93</v>
      </c>
    </row>
    <row r="34" spans="1:10" x14ac:dyDescent="0.25">
      <c r="A34" s="29">
        <v>45047</v>
      </c>
      <c r="B34" t="s">
        <v>13</v>
      </c>
      <c r="C34">
        <v>11428.571428571429</v>
      </c>
      <c r="D34">
        <v>16000</v>
      </c>
      <c r="E34">
        <v>2857.1428571428573</v>
      </c>
      <c r="F34">
        <v>90</v>
      </c>
      <c r="G34" t="s">
        <v>18</v>
      </c>
      <c r="H34">
        <v>0.93</v>
      </c>
      <c r="I34">
        <v>0.74</v>
      </c>
      <c r="J34">
        <v>0.93</v>
      </c>
    </row>
    <row r="35" spans="1:10" x14ac:dyDescent="0.25">
      <c r="A35" s="29">
        <v>45047</v>
      </c>
      <c r="B35" t="s">
        <v>14</v>
      </c>
      <c r="C35">
        <v>11428.571428571429</v>
      </c>
      <c r="D35">
        <v>12000</v>
      </c>
      <c r="E35">
        <v>2857.1428571428573</v>
      </c>
      <c r="F35">
        <v>110</v>
      </c>
      <c r="G35" t="s">
        <v>18</v>
      </c>
      <c r="H35">
        <v>0.85</v>
      </c>
      <c r="I35">
        <v>0.7</v>
      </c>
      <c r="J35">
        <v>0.99</v>
      </c>
    </row>
    <row r="36" spans="1:10" x14ac:dyDescent="0.25">
      <c r="A36" s="29">
        <v>45047</v>
      </c>
      <c r="B36" t="s">
        <v>15</v>
      </c>
      <c r="C36">
        <v>11428.571428571429</v>
      </c>
      <c r="D36">
        <v>20500</v>
      </c>
      <c r="E36">
        <v>2857.1428571428573</v>
      </c>
      <c r="F36">
        <v>90</v>
      </c>
      <c r="G36" t="s">
        <v>18</v>
      </c>
      <c r="H36">
        <v>0.92</v>
      </c>
      <c r="I36">
        <v>0.99</v>
      </c>
      <c r="J36">
        <v>0.88</v>
      </c>
    </row>
    <row r="37" spans="1:10" x14ac:dyDescent="0.25">
      <c r="A37" s="29">
        <v>45047</v>
      </c>
      <c r="B37" t="s">
        <v>16</v>
      </c>
      <c r="C37">
        <v>11428.571428571429</v>
      </c>
      <c r="D37">
        <v>21000</v>
      </c>
      <c r="E37">
        <v>2857.1428571428573</v>
      </c>
      <c r="F37">
        <v>100</v>
      </c>
      <c r="G37" t="s">
        <v>18</v>
      </c>
      <c r="H37">
        <v>0.75</v>
      </c>
      <c r="I37">
        <v>0.97</v>
      </c>
      <c r="J37">
        <v>0.83</v>
      </c>
    </row>
    <row r="38" spans="1:10" x14ac:dyDescent="0.25">
      <c r="A38" s="29">
        <v>45047</v>
      </c>
      <c r="B38" t="s">
        <v>17</v>
      </c>
      <c r="C38">
        <v>11428.571428571429</v>
      </c>
      <c r="D38">
        <v>21500</v>
      </c>
      <c r="E38">
        <v>2857.1428571428573</v>
      </c>
      <c r="F38">
        <v>90</v>
      </c>
      <c r="G38" t="s">
        <v>18</v>
      </c>
      <c r="H38">
        <v>0.77</v>
      </c>
      <c r="I38">
        <v>0.97</v>
      </c>
      <c r="J38">
        <v>0.78</v>
      </c>
    </row>
    <row r="39" spans="1:10" x14ac:dyDescent="0.25">
      <c r="A39" s="29">
        <v>45078</v>
      </c>
      <c r="B39" t="s">
        <v>10</v>
      </c>
      <c r="C39">
        <v>14285.714285714286</v>
      </c>
      <c r="D39">
        <v>22000</v>
      </c>
      <c r="E39">
        <v>857.14285714285711</v>
      </c>
      <c r="F39">
        <v>228</v>
      </c>
      <c r="G39" t="s">
        <v>18</v>
      </c>
      <c r="H39">
        <v>0.79</v>
      </c>
      <c r="I39">
        <v>0.75</v>
      </c>
      <c r="J39">
        <v>0.93</v>
      </c>
    </row>
    <row r="40" spans="1:10" x14ac:dyDescent="0.25">
      <c r="A40" s="29">
        <v>45078</v>
      </c>
      <c r="B40" t="s">
        <v>12</v>
      </c>
      <c r="C40">
        <v>14285.714285714286</v>
      </c>
      <c r="D40">
        <v>18000</v>
      </c>
      <c r="E40">
        <v>857.14285714285711</v>
      </c>
      <c r="F40">
        <v>220</v>
      </c>
      <c r="G40" t="s">
        <v>18</v>
      </c>
      <c r="H40">
        <v>0.81</v>
      </c>
      <c r="I40">
        <v>0.98</v>
      </c>
      <c r="J40">
        <v>0.86</v>
      </c>
    </row>
    <row r="41" spans="1:10" x14ac:dyDescent="0.25">
      <c r="A41" s="29">
        <v>45078</v>
      </c>
      <c r="B41" t="s">
        <v>13</v>
      </c>
      <c r="C41">
        <v>14285.714285714286</v>
      </c>
      <c r="D41">
        <v>18500</v>
      </c>
      <c r="E41">
        <v>857.14285714285711</v>
      </c>
      <c r="F41">
        <v>228</v>
      </c>
      <c r="G41" t="s">
        <v>18</v>
      </c>
      <c r="H41">
        <v>0.86</v>
      </c>
      <c r="I41">
        <v>0.82</v>
      </c>
      <c r="J41">
        <v>0.86</v>
      </c>
    </row>
    <row r="42" spans="1:10" x14ac:dyDescent="0.25">
      <c r="A42" s="29">
        <v>45078</v>
      </c>
      <c r="B42" t="s">
        <v>14</v>
      </c>
      <c r="C42">
        <v>14285.714285714286</v>
      </c>
      <c r="D42">
        <v>14314</v>
      </c>
      <c r="E42">
        <v>857.14285714285711</v>
      </c>
      <c r="F42">
        <v>238</v>
      </c>
      <c r="G42" t="s">
        <v>18</v>
      </c>
      <c r="H42">
        <v>0.72</v>
      </c>
      <c r="I42">
        <v>0.95</v>
      </c>
      <c r="J42">
        <v>0.9</v>
      </c>
    </row>
    <row r="43" spans="1:10" x14ac:dyDescent="0.25">
      <c r="A43" s="29">
        <v>45078</v>
      </c>
      <c r="B43" t="s">
        <v>15</v>
      </c>
      <c r="C43">
        <v>14285.714285714286</v>
      </c>
      <c r="D43">
        <v>21000</v>
      </c>
      <c r="E43">
        <v>857.14285714285711</v>
      </c>
      <c r="F43">
        <v>228</v>
      </c>
      <c r="G43" t="s">
        <v>18</v>
      </c>
      <c r="H43">
        <v>0.71</v>
      </c>
      <c r="I43">
        <v>0.8</v>
      </c>
      <c r="J43">
        <v>0.76</v>
      </c>
    </row>
    <row r="44" spans="1:10" x14ac:dyDescent="0.25">
      <c r="A44" s="29">
        <v>45078</v>
      </c>
      <c r="B44" t="s">
        <v>16</v>
      </c>
      <c r="C44">
        <v>14285.714285714286</v>
      </c>
      <c r="D44">
        <v>22500</v>
      </c>
      <c r="E44">
        <v>857.14285714285711</v>
      </c>
      <c r="F44">
        <v>230</v>
      </c>
      <c r="G44" t="s">
        <v>18</v>
      </c>
      <c r="H44">
        <v>0.97</v>
      </c>
      <c r="I44">
        <v>0.95</v>
      </c>
      <c r="J44">
        <v>0.85</v>
      </c>
    </row>
    <row r="45" spans="1:10" x14ac:dyDescent="0.25">
      <c r="A45" s="29">
        <v>45078</v>
      </c>
      <c r="B45" t="s">
        <v>17</v>
      </c>
      <c r="C45">
        <v>14285.714285714286</v>
      </c>
      <c r="D45">
        <v>22900</v>
      </c>
      <c r="E45">
        <v>857.14285714285711</v>
      </c>
      <c r="F45">
        <v>228</v>
      </c>
      <c r="G45" t="s">
        <v>18</v>
      </c>
      <c r="H45">
        <v>0.95</v>
      </c>
      <c r="I45">
        <v>0.85</v>
      </c>
      <c r="J45">
        <v>0.91</v>
      </c>
    </row>
    <row r="46" spans="1:10" x14ac:dyDescent="0.25">
      <c r="A46" s="29">
        <v>45108</v>
      </c>
      <c r="B46" t="s">
        <v>10</v>
      </c>
      <c r="C46">
        <v>18562.957142857143</v>
      </c>
      <c r="D46">
        <v>25000</v>
      </c>
      <c r="E46">
        <v>714.28571428571433</v>
      </c>
      <c r="F46">
        <v>250</v>
      </c>
      <c r="G46" t="s">
        <v>19</v>
      </c>
      <c r="H46">
        <v>0.97</v>
      </c>
      <c r="I46">
        <v>0.7</v>
      </c>
      <c r="J46">
        <v>0.93</v>
      </c>
    </row>
    <row r="47" spans="1:10" x14ac:dyDescent="0.25">
      <c r="A47" s="29">
        <v>45108</v>
      </c>
      <c r="B47" t="s">
        <v>12</v>
      </c>
      <c r="C47">
        <v>18562.957142857143</v>
      </c>
      <c r="D47">
        <v>22000</v>
      </c>
      <c r="E47">
        <v>714.28571428571433</v>
      </c>
      <c r="F47">
        <v>240</v>
      </c>
      <c r="G47" t="s">
        <v>19</v>
      </c>
      <c r="H47">
        <v>0.9</v>
      </c>
      <c r="I47">
        <v>0.98</v>
      </c>
      <c r="J47">
        <v>0.96</v>
      </c>
    </row>
    <row r="48" spans="1:10" x14ac:dyDescent="0.25">
      <c r="A48" s="29">
        <v>45108</v>
      </c>
      <c r="B48" t="s">
        <v>13</v>
      </c>
      <c r="C48">
        <v>18562.957142857143</v>
      </c>
      <c r="D48">
        <v>25000</v>
      </c>
      <c r="E48">
        <v>714.28571428571433</v>
      </c>
      <c r="F48">
        <v>270</v>
      </c>
      <c r="G48" t="s">
        <v>19</v>
      </c>
      <c r="H48">
        <v>0.9</v>
      </c>
      <c r="I48">
        <v>0.95</v>
      </c>
      <c r="J48">
        <v>0.98</v>
      </c>
    </row>
    <row r="49" spans="1:10" x14ac:dyDescent="0.25">
      <c r="A49" s="29">
        <v>45108</v>
      </c>
      <c r="B49" t="s">
        <v>14</v>
      </c>
      <c r="C49">
        <v>18562.957142857143</v>
      </c>
      <c r="D49">
        <v>25000</v>
      </c>
      <c r="E49">
        <v>714.28571428571433</v>
      </c>
      <c r="F49">
        <v>259</v>
      </c>
      <c r="G49" t="s">
        <v>19</v>
      </c>
      <c r="H49">
        <v>0.96</v>
      </c>
      <c r="I49">
        <v>0.81</v>
      </c>
      <c r="J49">
        <v>0.85</v>
      </c>
    </row>
    <row r="50" spans="1:10" x14ac:dyDescent="0.25">
      <c r="A50" s="29">
        <v>45108</v>
      </c>
      <c r="B50" t="s">
        <v>15</v>
      </c>
      <c r="C50">
        <v>18562.957142857143</v>
      </c>
      <c r="D50">
        <v>25000</v>
      </c>
      <c r="E50">
        <v>714.28571428571433</v>
      </c>
      <c r="F50">
        <v>260</v>
      </c>
      <c r="G50" t="s">
        <v>19</v>
      </c>
      <c r="H50">
        <v>0.98</v>
      </c>
      <c r="I50">
        <v>0.84</v>
      </c>
      <c r="J50">
        <v>0.89</v>
      </c>
    </row>
    <row r="51" spans="1:10" x14ac:dyDescent="0.25">
      <c r="A51" s="29">
        <v>45108</v>
      </c>
      <c r="B51" t="s">
        <v>16</v>
      </c>
      <c r="C51">
        <v>18562.957142857143</v>
      </c>
      <c r="D51">
        <v>25000</v>
      </c>
      <c r="E51">
        <v>714.28571428571433</v>
      </c>
      <c r="F51">
        <v>260</v>
      </c>
      <c r="G51" t="s">
        <v>19</v>
      </c>
      <c r="H51">
        <v>0.76</v>
      </c>
      <c r="I51">
        <v>0.7</v>
      </c>
      <c r="J51">
        <v>0.86</v>
      </c>
    </row>
    <row r="52" spans="1:10" x14ac:dyDescent="0.25">
      <c r="A52" s="29">
        <v>45108</v>
      </c>
      <c r="B52" t="s">
        <v>17</v>
      </c>
      <c r="C52">
        <v>18562.957142857143</v>
      </c>
      <c r="D52">
        <v>25000</v>
      </c>
      <c r="E52">
        <v>714.28571428571433</v>
      </c>
      <c r="F52">
        <v>261</v>
      </c>
      <c r="G52" t="s">
        <v>19</v>
      </c>
      <c r="H52">
        <v>0.91</v>
      </c>
      <c r="I52">
        <v>0.77</v>
      </c>
      <c r="J52">
        <v>0.75</v>
      </c>
    </row>
    <row r="53" spans="1:10" x14ac:dyDescent="0.25">
      <c r="A53" s="29">
        <v>45139</v>
      </c>
      <c r="B53" t="s">
        <v>10</v>
      </c>
      <c r="C53">
        <v>18571.428571428572</v>
      </c>
      <c r="D53">
        <v>25000</v>
      </c>
      <c r="E53">
        <v>714.28571428571433</v>
      </c>
      <c r="F53">
        <v>242</v>
      </c>
      <c r="G53" t="s">
        <v>19</v>
      </c>
      <c r="H53">
        <v>0.79</v>
      </c>
      <c r="I53">
        <v>0.81</v>
      </c>
      <c r="J53">
        <v>0.74</v>
      </c>
    </row>
    <row r="54" spans="1:10" x14ac:dyDescent="0.25">
      <c r="A54" s="29">
        <v>45139</v>
      </c>
      <c r="B54" t="s">
        <v>12</v>
      </c>
      <c r="C54">
        <v>18571.428571428572</v>
      </c>
      <c r="D54">
        <v>22500</v>
      </c>
      <c r="E54">
        <v>714.28571428571433</v>
      </c>
      <c r="F54">
        <v>250</v>
      </c>
      <c r="G54" t="s">
        <v>19</v>
      </c>
      <c r="H54">
        <v>0.85</v>
      </c>
      <c r="I54">
        <v>0.82</v>
      </c>
      <c r="J54">
        <v>0.73</v>
      </c>
    </row>
    <row r="55" spans="1:10" x14ac:dyDescent="0.25">
      <c r="A55" s="29">
        <v>45139</v>
      </c>
      <c r="B55" t="s">
        <v>13</v>
      </c>
      <c r="C55">
        <v>18571.428571428572</v>
      </c>
      <c r="D55">
        <v>25000</v>
      </c>
      <c r="E55">
        <v>714.28571428571433</v>
      </c>
      <c r="F55">
        <v>242</v>
      </c>
      <c r="G55" t="s">
        <v>19</v>
      </c>
      <c r="H55">
        <v>0.88</v>
      </c>
      <c r="I55">
        <v>0.84</v>
      </c>
      <c r="J55">
        <v>0.75</v>
      </c>
    </row>
    <row r="56" spans="1:10" x14ac:dyDescent="0.25">
      <c r="A56" s="29">
        <v>45139</v>
      </c>
      <c r="B56" t="s">
        <v>14</v>
      </c>
      <c r="C56">
        <v>18571.428571428572</v>
      </c>
      <c r="D56">
        <v>25000</v>
      </c>
      <c r="E56">
        <v>714.28571428571433</v>
      </c>
      <c r="F56">
        <v>242</v>
      </c>
      <c r="G56" t="s">
        <v>19</v>
      </c>
      <c r="H56">
        <v>0.81</v>
      </c>
      <c r="I56">
        <v>0.92</v>
      </c>
      <c r="J56">
        <v>0.91</v>
      </c>
    </row>
    <row r="57" spans="1:10" x14ac:dyDescent="0.25">
      <c r="A57" s="29">
        <v>45139</v>
      </c>
      <c r="B57" t="s">
        <v>15</v>
      </c>
      <c r="C57">
        <v>18571.428571428572</v>
      </c>
      <c r="D57">
        <v>25000</v>
      </c>
      <c r="E57">
        <v>714.28571428571433</v>
      </c>
      <c r="F57">
        <v>242</v>
      </c>
      <c r="G57" t="s">
        <v>19</v>
      </c>
      <c r="H57">
        <v>0.84</v>
      </c>
      <c r="I57">
        <v>0.73</v>
      </c>
      <c r="J57">
        <v>0.99</v>
      </c>
    </row>
    <row r="58" spans="1:10" x14ac:dyDescent="0.25">
      <c r="A58" s="29">
        <v>45139</v>
      </c>
      <c r="B58" t="s">
        <v>16</v>
      </c>
      <c r="C58">
        <v>18571.428571428572</v>
      </c>
      <c r="D58">
        <v>25000</v>
      </c>
      <c r="E58">
        <v>714.28571428571433</v>
      </c>
      <c r="F58">
        <v>240</v>
      </c>
      <c r="G58" t="s">
        <v>19</v>
      </c>
      <c r="H58">
        <v>0.93</v>
      </c>
      <c r="I58">
        <v>0.79</v>
      </c>
      <c r="J58">
        <v>0.72</v>
      </c>
    </row>
    <row r="59" spans="1:10" x14ac:dyDescent="0.25">
      <c r="A59" s="29">
        <v>45139</v>
      </c>
      <c r="B59" t="s">
        <v>17</v>
      </c>
      <c r="C59">
        <v>18571.428571428572</v>
      </c>
      <c r="D59">
        <v>25000</v>
      </c>
      <c r="E59">
        <v>714.28571428571433</v>
      </c>
      <c r="F59">
        <v>242</v>
      </c>
      <c r="G59" t="s">
        <v>19</v>
      </c>
      <c r="H59">
        <v>0.84</v>
      </c>
      <c r="I59">
        <v>0.79</v>
      </c>
      <c r="J59">
        <v>0.8</v>
      </c>
    </row>
    <row r="60" spans="1:10" x14ac:dyDescent="0.25">
      <c r="A60" s="29">
        <v>45170</v>
      </c>
      <c r="B60" t="s">
        <v>10</v>
      </c>
      <c r="C60">
        <v>17857.142857142859</v>
      </c>
      <c r="D60">
        <v>22500</v>
      </c>
      <c r="E60">
        <v>285.71428571428572</v>
      </c>
      <c r="F60">
        <v>285</v>
      </c>
      <c r="G60" t="s">
        <v>19</v>
      </c>
      <c r="H60">
        <v>0.85</v>
      </c>
      <c r="I60">
        <v>0.91</v>
      </c>
      <c r="J60">
        <v>0.84</v>
      </c>
    </row>
    <row r="61" spans="1:10" x14ac:dyDescent="0.25">
      <c r="A61" s="29">
        <v>45170</v>
      </c>
      <c r="B61" t="s">
        <v>12</v>
      </c>
      <c r="C61">
        <v>17857.142857142859</v>
      </c>
      <c r="D61">
        <v>21500</v>
      </c>
      <c r="E61">
        <v>285.71428571428572</v>
      </c>
      <c r="F61">
        <v>275</v>
      </c>
      <c r="G61" t="s">
        <v>19</v>
      </c>
      <c r="H61">
        <v>0.86</v>
      </c>
      <c r="I61">
        <v>0.75</v>
      </c>
      <c r="J61">
        <v>0.96</v>
      </c>
    </row>
    <row r="62" spans="1:10" x14ac:dyDescent="0.25">
      <c r="A62" s="29">
        <v>45170</v>
      </c>
      <c r="B62" t="s">
        <v>13</v>
      </c>
      <c r="C62">
        <v>17857.142857142859</v>
      </c>
      <c r="D62">
        <v>24000</v>
      </c>
      <c r="E62">
        <v>285.71428571428572</v>
      </c>
      <c r="F62">
        <v>285</v>
      </c>
      <c r="G62" t="s">
        <v>19</v>
      </c>
      <c r="H62">
        <v>0.96</v>
      </c>
      <c r="I62">
        <v>0.77</v>
      </c>
      <c r="J62">
        <v>0.92</v>
      </c>
    </row>
    <row r="63" spans="1:10" x14ac:dyDescent="0.25">
      <c r="A63" s="29">
        <v>45170</v>
      </c>
      <c r="B63" t="s">
        <v>14</v>
      </c>
      <c r="C63">
        <v>17857.142857142859</v>
      </c>
      <c r="D63">
        <v>24500</v>
      </c>
      <c r="E63">
        <v>285.71428571428572</v>
      </c>
      <c r="F63">
        <v>290</v>
      </c>
      <c r="G63" t="s">
        <v>19</v>
      </c>
      <c r="H63">
        <v>0.99</v>
      </c>
      <c r="I63">
        <v>0.97</v>
      </c>
      <c r="J63">
        <v>0.73</v>
      </c>
    </row>
    <row r="64" spans="1:10" x14ac:dyDescent="0.25">
      <c r="A64" s="29">
        <v>45170</v>
      </c>
      <c r="B64" t="s">
        <v>15</v>
      </c>
      <c r="C64">
        <v>17857.142857142859</v>
      </c>
      <c r="D64">
        <v>24500</v>
      </c>
      <c r="E64">
        <v>285.71428571428572</v>
      </c>
      <c r="F64">
        <v>310</v>
      </c>
      <c r="G64" t="s">
        <v>19</v>
      </c>
      <c r="H64">
        <v>0.77</v>
      </c>
      <c r="I64">
        <v>0.72</v>
      </c>
      <c r="J64">
        <v>0.85</v>
      </c>
    </row>
    <row r="65" spans="1:10" x14ac:dyDescent="0.25">
      <c r="A65" s="29">
        <v>45170</v>
      </c>
      <c r="B65" t="s">
        <v>16</v>
      </c>
      <c r="C65">
        <v>17857.142857142859</v>
      </c>
      <c r="D65">
        <v>24500</v>
      </c>
      <c r="E65">
        <v>285.71428571428572</v>
      </c>
      <c r="F65">
        <v>270</v>
      </c>
      <c r="G65" t="s">
        <v>19</v>
      </c>
      <c r="H65">
        <v>0.77</v>
      </c>
      <c r="I65">
        <v>0.96</v>
      </c>
      <c r="J65">
        <v>0.78</v>
      </c>
    </row>
    <row r="66" spans="1:10" x14ac:dyDescent="0.25">
      <c r="A66" s="29">
        <v>45170</v>
      </c>
      <c r="B66" t="s">
        <v>17</v>
      </c>
      <c r="C66">
        <v>17857.142857142859</v>
      </c>
      <c r="D66">
        <v>24500</v>
      </c>
      <c r="E66">
        <v>285.71428571428572</v>
      </c>
      <c r="F66">
        <v>285</v>
      </c>
      <c r="G66" t="s">
        <v>19</v>
      </c>
      <c r="H66">
        <v>0.78</v>
      </c>
      <c r="I66">
        <v>0.8</v>
      </c>
      <c r="J66">
        <v>0.85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01F2-BD0A-40C5-AA7E-2820FC8921A1}">
  <dimension ref="A3:C4"/>
  <sheetViews>
    <sheetView zoomScale="98" workbookViewId="0">
      <selection activeCell="A3" sqref="A3"/>
    </sheetView>
  </sheetViews>
  <sheetFormatPr defaultRowHeight="15.75" x14ac:dyDescent="0.25"/>
  <cols>
    <col min="1" max="1" width="15.25" bestFit="1" customWidth="1"/>
  </cols>
  <sheetData>
    <row r="3" spans="1:3" x14ac:dyDescent="0.25">
      <c r="A3" t="s">
        <v>41</v>
      </c>
    </row>
    <row r="4" spans="1:3" x14ac:dyDescent="0.25">
      <c r="A4" s="28">
        <v>11983.185714285704</v>
      </c>
      <c r="C4">
        <f>GETPIVOTDATA("Sales",$A$3)</f>
        <v>11983.185714285704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F90A-6781-4B5E-AF0B-EE1E410013B6}">
  <dimension ref="A3:B28"/>
  <sheetViews>
    <sheetView workbookViewId="0">
      <selection activeCell="B6" sqref="B6"/>
    </sheetView>
  </sheetViews>
  <sheetFormatPr defaultRowHeight="15.75" x14ac:dyDescent="0.25"/>
  <cols>
    <col min="1" max="1" width="14.5" bestFit="1" customWidth="1"/>
    <col min="2" max="2" width="11.625" bestFit="1" customWidth="1"/>
  </cols>
  <sheetData>
    <row r="3" spans="1:2" x14ac:dyDescent="0.25">
      <c r="A3" s="31" t="s">
        <v>22</v>
      </c>
      <c r="B3" t="s">
        <v>27</v>
      </c>
    </row>
    <row r="4" spans="1:2" x14ac:dyDescent="0.25">
      <c r="A4" s="32" t="s">
        <v>11</v>
      </c>
      <c r="B4" s="28">
        <v>135000</v>
      </c>
    </row>
    <row r="5" spans="1:2" x14ac:dyDescent="0.25">
      <c r="A5" s="33" t="s">
        <v>10</v>
      </c>
      <c r="B5" s="28">
        <v>18571.428571428572</v>
      </c>
    </row>
    <row r="6" spans="1:2" x14ac:dyDescent="0.25">
      <c r="A6" s="33" t="s">
        <v>12</v>
      </c>
      <c r="B6" s="28">
        <v>27071.428571428572</v>
      </c>
    </row>
    <row r="7" spans="1:2" x14ac:dyDescent="0.25">
      <c r="A7" s="33" t="s">
        <v>13</v>
      </c>
      <c r="B7" s="28">
        <v>11571.428571428571</v>
      </c>
    </row>
    <row r="8" spans="1:2" x14ac:dyDescent="0.25">
      <c r="A8" s="33" t="s">
        <v>14</v>
      </c>
      <c r="B8" s="28">
        <v>13571.428571428571</v>
      </c>
    </row>
    <row r="9" spans="1:2" x14ac:dyDescent="0.25">
      <c r="A9" s="33" t="s">
        <v>15</v>
      </c>
      <c r="B9" s="28">
        <v>20571.428571428572</v>
      </c>
    </row>
    <row r="10" spans="1:2" x14ac:dyDescent="0.25">
      <c r="A10" s="33" t="s">
        <v>16</v>
      </c>
      <c r="B10" s="28">
        <v>15071.428571428571</v>
      </c>
    </row>
    <row r="11" spans="1:2" x14ac:dyDescent="0.25">
      <c r="A11" s="33" t="s">
        <v>17</v>
      </c>
      <c r="B11" s="28">
        <v>28571.428571428572</v>
      </c>
    </row>
    <row r="12" spans="1:2" x14ac:dyDescent="0.25">
      <c r="A12" s="32" t="s">
        <v>18</v>
      </c>
      <c r="B12" s="28">
        <v>235000.00000000003</v>
      </c>
    </row>
    <row r="13" spans="1:2" x14ac:dyDescent="0.25">
      <c r="A13" s="33" t="s">
        <v>10</v>
      </c>
      <c r="B13" s="28">
        <v>33571.428571428572</v>
      </c>
    </row>
    <row r="14" spans="1:2" x14ac:dyDescent="0.25">
      <c r="A14" s="33" t="s">
        <v>12</v>
      </c>
      <c r="B14" s="28">
        <v>33571.428571428572</v>
      </c>
    </row>
    <row r="15" spans="1:2" x14ac:dyDescent="0.25">
      <c r="A15" s="33" t="s">
        <v>13</v>
      </c>
      <c r="B15" s="28">
        <v>33571.428571428572</v>
      </c>
    </row>
    <row r="16" spans="1:2" x14ac:dyDescent="0.25">
      <c r="A16" s="33" t="s">
        <v>14</v>
      </c>
      <c r="B16" s="28">
        <v>33571.428571428572</v>
      </c>
    </row>
    <row r="17" spans="1:2" x14ac:dyDescent="0.25">
      <c r="A17" s="33" t="s">
        <v>15</v>
      </c>
      <c r="B17" s="28">
        <v>33571.428571428572</v>
      </c>
    </row>
    <row r="18" spans="1:2" x14ac:dyDescent="0.25">
      <c r="A18" s="33" t="s">
        <v>16</v>
      </c>
      <c r="B18" s="28">
        <v>33571.428571428572</v>
      </c>
    </row>
    <row r="19" spans="1:2" x14ac:dyDescent="0.25">
      <c r="A19" s="33" t="s">
        <v>17</v>
      </c>
      <c r="B19" s="28">
        <v>33571.428571428572</v>
      </c>
    </row>
    <row r="20" spans="1:2" x14ac:dyDescent="0.25">
      <c r="A20" s="32" t="s">
        <v>19</v>
      </c>
      <c r="B20" s="28">
        <v>384940.69999999995</v>
      </c>
    </row>
    <row r="21" spans="1:2" x14ac:dyDescent="0.25">
      <c r="A21" s="33" t="s">
        <v>10</v>
      </c>
      <c r="B21" s="28">
        <v>54991.528571428571</v>
      </c>
    </row>
    <row r="22" spans="1:2" x14ac:dyDescent="0.25">
      <c r="A22" s="33" t="s">
        <v>12</v>
      </c>
      <c r="B22" s="28">
        <v>54991.528571428571</v>
      </c>
    </row>
    <row r="23" spans="1:2" x14ac:dyDescent="0.25">
      <c r="A23" s="33" t="s">
        <v>13</v>
      </c>
      <c r="B23" s="28">
        <v>54991.528571428571</v>
      </c>
    </row>
    <row r="24" spans="1:2" x14ac:dyDescent="0.25">
      <c r="A24" s="33" t="s">
        <v>14</v>
      </c>
      <c r="B24" s="28">
        <v>54991.528571428571</v>
      </c>
    </row>
    <row r="25" spans="1:2" x14ac:dyDescent="0.25">
      <c r="A25" s="33" t="s">
        <v>15</v>
      </c>
      <c r="B25" s="28">
        <v>54991.528571428571</v>
      </c>
    </row>
    <row r="26" spans="1:2" x14ac:dyDescent="0.25">
      <c r="A26" s="33" t="s">
        <v>16</v>
      </c>
      <c r="B26" s="28">
        <v>54991.528571428571</v>
      </c>
    </row>
    <row r="27" spans="1:2" x14ac:dyDescent="0.25">
      <c r="A27" s="33" t="s">
        <v>17</v>
      </c>
      <c r="B27" s="28">
        <v>54991.528571428571</v>
      </c>
    </row>
    <row r="28" spans="1:2" x14ac:dyDescent="0.25">
      <c r="A28" s="32" t="s">
        <v>31</v>
      </c>
      <c r="B28" s="28">
        <v>754940.70000000019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4"/>
  <sheetViews>
    <sheetView topLeftCell="A23" workbookViewId="0">
      <selection activeCell="H26" sqref="A2:J64"/>
    </sheetView>
  </sheetViews>
  <sheetFormatPr defaultColWidth="11.25" defaultRowHeight="15" customHeight="1" x14ac:dyDescent="0.25"/>
  <cols>
    <col min="1" max="1" width="8.5" customWidth="1"/>
    <col min="2" max="2" width="10.25" customWidth="1"/>
    <col min="3" max="3" width="8.5" customWidth="1"/>
    <col min="4" max="4" width="9.875" customWidth="1"/>
    <col min="5" max="5" width="12.75" customWidth="1"/>
    <col min="6" max="6" width="11.75" customWidth="1"/>
    <col min="7" max="7" width="9.75" customWidth="1"/>
    <col min="8" max="8" width="19.5" customWidth="1"/>
    <col min="9" max="9" width="20.125" customWidth="1"/>
    <col min="10" max="10" width="23.5" customWidth="1"/>
    <col min="11" max="26" width="8.5" customWidth="1"/>
  </cols>
  <sheetData>
    <row r="1" spans="1:10" ht="15.75" x14ac:dyDescent="0.25">
      <c r="A1" s="1" t="s">
        <v>0</v>
      </c>
      <c r="B1" s="1" t="s">
        <v>1</v>
      </c>
      <c r="C1" s="1" t="s">
        <v>2</v>
      </c>
      <c r="D1" s="1" t="s">
        <v>3</v>
      </c>
      <c r="E1" s="1" t="s">
        <v>4</v>
      </c>
      <c r="F1" s="1" t="s">
        <v>5</v>
      </c>
      <c r="G1" s="1" t="s">
        <v>6</v>
      </c>
      <c r="H1" s="1" t="s">
        <v>7</v>
      </c>
      <c r="I1" s="1" t="s">
        <v>8</v>
      </c>
      <c r="J1" s="1" t="s">
        <v>9</v>
      </c>
    </row>
    <row r="2" spans="1:10" ht="15.75" hidden="1" x14ac:dyDescent="0.25">
      <c r="A2" s="2">
        <v>44927</v>
      </c>
      <c r="B2" s="1" t="s">
        <v>10</v>
      </c>
      <c r="C2" s="3">
        <v>5000</v>
      </c>
      <c r="D2" s="3">
        <v>2581</v>
      </c>
      <c r="E2" s="3">
        <v>2857.1428571428573</v>
      </c>
      <c r="F2" s="1">
        <v>80</v>
      </c>
      <c r="G2" s="3" t="s">
        <v>11</v>
      </c>
      <c r="H2" s="4">
        <v>0.89</v>
      </c>
      <c r="I2" s="4">
        <v>0.85</v>
      </c>
      <c r="J2" s="4">
        <v>0.72</v>
      </c>
    </row>
    <row r="3" spans="1:10" ht="15.75" hidden="1" x14ac:dyDescent="0.25">
      <c r="A3" s="2">
        <v>44927</v>
      </c>
      <c r="B3" s="1" t="s">
        <v>12</v>
      </c>
      <c r="C3" s="3">
        <v>3500</v>
      </c>
      <c r="D3" s="3">
        <v>3944</v>
      </c>
      <c r="E3" s="3">
        <v>2857.1428571428573</v>
      </c>
      <c r="F3" s="1">
        <v>30</v>
      </c>
      <c r="G3" s="3" t="s">
        <v>11</v>
      </c>
      <c r="H3" s="4">
        <v>0.94</v>
      </c>
      <c r="I3" s="4">
        <v>0.95</v>
      </c>
      <c r="J3" s="4">
        <v>0.86</v>
      </c>
    </row>
    <row r="4" spans="1:10" ht="15.75" hidden="1" x14ac:dyDescent="0.25">
      <c r="A4" s="2">
        <v>44927</v>
      </c>
      <c r="B4" s="1" t="s">
        <v>13</v>
      </c>
      <c r="C4" s="3">
        <v>1500</v>
      </c>
      <c r="D4" s="1">
        <v>3293</v>
      </c>
      <c r="E4" s="3">
        <v>2857.1428571428573</v>
      </c>
      <c r="F4" s="1">
        <v>15</v>
      </c>
      <c r="G4" s="3" t="s">
        <v>11</v>
      </c>
      <c r="H4" s="4">
        <v>0.82</v>
      </c>
      <c r="I4" s="4">
        <v>0.8</v>
      </c>
      <c r="J4" s="4">
        <v>0.76</v>
      </c>
    </row>
    <row r="5" spans="1:10" ht="15.75" hidden="1" x14ac:dyDescent="0.25">
      <c r="A5" s="2">
        <v>44927</v>
      </c>
      <c r="B5" s="1" t="s">
        <v>14</v>
      </c>
      <c r="C5" s="3">
        <v>1500</v>
      </c>
      <c r="D5" s="1">
        <v>2019</v>
      </c>
      <c r="E5" s="3">
        <v>2857.1428571428573</v>
      </c>
      <c r="F5" s="1">
        <v>40</v>
      </c>
      <c r="G5" s="3" t="s">
        <v>11</v>
      </c>
      <c r="H5" s="4">
        <v>0.79</v>
      </c>
      <c r="I5" s="4">
        <v>0.79</v>
      </c>
      <c r="J5" s="4">
        <v>0.79</v>
      </c>
    </row>
    <row r="6" spans="1:10" ht="15.75" hidden="1" x14ac:dyDescent="0.25">
      <c r="A6" s="2">
        <v>44927</v>
      </c>
      <c r="B6" s="1" t="s">
        <v>15</v>
      </c>
      <c r="C6" s="3">
        <v>6000</v>
      </c>
      <c r="D6" s="1">
        <v>2980</v>
      </c>
      <c r="E6" s="3">
        <v>2857.1428571428573</v>
      </c>
      <c r="F6" s="1">
        <v>100</v>
      </c>
      <c r="G6" s="3" t="s">
        <v>11</v>
      </c>
      <c r="H6" s="4">
        <v>0.96</v>
      </c>
      <c r="I6" s="4">
        <v>0.79</v>
      </c>
      <c r="J6" s="4">
        <v>0.7</v>
      </c>
    </row>
    <row r="7" spans="1:10" ht="15.75" hidden="1" x14ac:dyDescent="0.25">
      <c r="A7" s="2">
        <v>44927</v>
      </c>
      <c r="B7" s="1" t="s">
        <v>16</v>
      </c>
      <c r="C7" s="3">
        <v>2500</v>
      </c>
      <c r="D7" s="1">
        <v>2209</v>
      </c>
      <c r="E7" s="3">
        <v>2857.1428571428573</v>
      </c>
      <c r="F7" s="1">
        <v>15</v>
      </c>
      <c r="G7" s="3" t="s">
        <v>11</v>
      </c>
      <c r="H7" s="4">
        <v>0.79</v>
      </c>
      <c r="I7" s="4">
        <v>0.79</v>
      </c>
      <c r="J7" s="4">
        <v>0.77</v>
      </c>
    </row>
    <row r="8" spans="1:10" ht="15.75" hidden="1" x14ac:dyDescent="0.25">
      <c r="A8" s="2">
        <v>44927</v>
      </c>
      <c r="B8" s="1" t="s">
        <v>17</v>
      </c>
      <c r="C8" s="3">
        <v>10000</v>
      </c>
      <c r="D8" s="1">
        <v>2440</v>
      </c>
      <c r="E8" s="3">
        <v>2857.1428571428573</v>
      </c>
      <c r="F8" s="1">
        <v>20</v>
      </c>
      <c r="G8" s="3" t="s">
        <v>11</v>
      </c>
      <c r="H8" s="4">
        <v>0.75</v>
      </c>
      <c r="I8" s="4">
        <v>0.72</v>
      </c>
      <c r="J8" s="4">
        <v>0.93</v>
      </c>
    </row>
    <row r="9" spans="1:10" ht="15.75" hidden="1" x14ac:dyDescent="0.25">
      <c r="A9" s="2">
        <v>44958</v>
      </c>
      <c r="B9" s="1" t="s">
        <v>10</v>
      </c>
      <c r="C9" s="3">
        <v>5000</v>
      </c>
      <c r="D9" s="3">
        <v>2000</v>
      </c>
      <c r="E9" s="3">
        <v>1428.5714285714287</v>
      </c>
      <c r="F9" s="1">
        <v>90</v>
      </c>
      <c r="G9" s="3" t="s">
        <v>11</v>
      </c>
      <c r="H9" s="4">
        <v>0.92</v>
      </c>
      <c r="I9" s="4">
        <v>0.99</v>
      </c>
      <c r="J9" s="4">
        <v>0.74</v>
      </c>
    </row>
    <row r="10" spans="1:10" ht="15.75" hidden="1" x14ac:dyDescent="0.25">
      <c r="A10" s="2">
        <v>44958</v>
      </c>
      <c r="B10" s="1" t="s">
        <v>12</v>
      </c>
      <c r="C10" s="3">
        <v>15000</v>
      </c>
      <c r="D10" s="3">
        <v>14431</v>
      </c>
      <c r="E10" s="3">
        <v>1428.5714285714287</v>
      </c>
      <c r="F10" s="1">
        <v>30</v>
      </c>
      <c r="G10" s="3" t="s">
        <v>11</v>
      </c>
      <c r="H10" s="4">
        <v>0.7</v>
      </c>
      <c r="I10" s="4">
        <v>0.99</v>
      </c>
      <c r="J10" s="4">
        <v>0.95</v>
      </c>
    </row>
    <row r="11" spans="1:10" ht="15.75" hidden="1" x14ac:dyDescent="0.25">
      <c r="A11" s="2">
        <v>44958</v>
      </c>
      <c r="B11" s="1" t="s">
        <v>13</v>
      </c>
      <c r="C11" s="3">
        <v>1500</v>
      </c>
      <c r="D11" s="1">
        <v>3000</v>
      </c>
      <c r="E11" s="3">
        <v>1428.5714285714287</v>
      </c>
      <c r="F11" s="1">
        <v>15</v>
      </c>
      <c r="G11" s="3" t="s">
        <v>11</v>
      </c>
      <c r="H11" s="4">
        <v>0.91</v>
      </c>
      <c r="I11" s="4">
        <v>0.98</v>
      </c>
      <c r="J11" s="4">
        <v>0.89</v>
      </c>
    </row>
    <row r="12" spans="1:10" ht="15.75" hidden="1" x14ac:dyDescent="0.25">
      <c r="A12" s="2">
        <v>44958</v>
      </c>
      <c r="B12" s="1" t="s">
        <v>14</v>
      </c>
      <c r="C12" s="3">
        <v>3500</v>
      </c>
      <c r="D12" s="1">
        <v>4000</v>
      </c>
      <c r="E12" s="3">
        <v>1428.5714285714287</v>
      </c>
      <c r="F12" s="1">
        <v>40</v>
      </c>
      <c r="G12" s="3" t="s">
        <v>11</v>
      </c>
      <c r="H12" s="4">
        <v>0.74</v>
      </c>
      <c r="I12" s="4">
        <v>0.85</v>
      </c>
      <c r="J12" s="4">
        <v>0.7</v>
      </c>
    </row>
    <row r="13" spans="1:10" ht="15.75" hidden="1" x14ac:dyDescent="0.25">
      <c r="A13" s="2">
        <v>44958</v>
      </c>
      <c r="B13" s="1" t="s">
        <v>15</v>
      </c>
      <c r="C13" s="3">
        <v>6000</v>
      </c>
      <c r="D13" s="1">
        <v>2000</v>
      </c>
      <c r="E13" s="3">
        <v>1428.5714285714287</v>
      </c>
      <c r="F13" s="1">
        <v>100</v>
      </c>
      <c r="G13" s="3" t="s">
        <v>11</v>
      </c>
      <c r="H13" s="4">
        <v>0.9</v>
      </c>
      <c r="I13" s="4">
        <v>0.9</v>
      </c>
      <c r="J13" s="4">
        <v>0.72</v>
      </c>
    </row>
    <row r="14" spans="1:10" ht="15.75" hidden="1" x14ac:dyDescent="0.25">
      <c r="A14" s="2">
        <v>44958</v>
      </c>
      <c r="B14" s="1" t="s">
        <v>16</v>
      </c>
      <c r="C14" s="3">
        <v>4000</v>
      </c>
      <c r="D14" s="1">
        <v>2000</v>
      </c>
      <c r="E14" s="3">
        <v>1428.5714285714287</v>
      </c>
      <c r="F14" s="1">
        <v>15</v>
      </c>
      <c r="G14" s="3" t="s">
        <v>11</v>
      </c>
      <c r="H14" s="4">
        <v>0.95</v>
      </c>
      <c r="I14" s="4">
        <v>0.97</v>
      </c>
      <c r="J14" s="4">
        <v>0.81</v>
      </c>
    </row>
    <row r="15" spans="1:10" ht="15.75" hidden="1" x14ac:dyDescent="0.25">
      <c r="A15" s="2">
        <v>44958</v>
      </c>
      <c r="B15" s="1" t="s">
        <v>17</v>
      </c>
      <c r="C15" s="3">
        <v>10000</v>
      </c>
      <c r="D15" s="1">
        <v>2000</v>
      </c>
      <c r="E15" s="3">
        <v>1428.5714285714287</v>
      </c>
      <c r="F15" s="1">
        <v>20</v>
      </c>
      <c r="G15" s="3" t="s">
        <v>11</v>
      </c>
      <c r="H15" s="4">
        <v>0.99</v>
      </c>
      <c r="I15" s="4">
        <v>0.79</v>
      </c>
      <c r="J15" s="4">
        <v>0.75</v>
      </c>
    </row>
    <row r="16" spans="1:10" ht="15.75" hidden="1" x14ac:dyDescent="0.25">
      <c r="A16" s="2">
        <v>44986</v>
      </c>
      <c r="B16" s="1" t="s">
        <v>10</v>
      </c>
      <c r="C16" s="3">
        <v>8571.4285714285706</v>
      </c>
      <c r="D16" s="3">
        <v>4000</v>
      </c>
      <c r="E16" s="3">
        <v>1428.5714285714287</v>
      </c>
      <c r="F16" s="1">
        <v>45</v>
      </c>
      <c r="G16" s="3" t="s">
        <v>11</v>
      </c>
      <c r="H16" s="4">
        <v>0.86</v>
      </c>
      <c r="I16" s="4">
        <v>0.97</v>
      </c>
      <c r="J16" s="4">
        <v>0.89</v>
      </c>
    </row>
    <row r="17" spans="1:10" ht="15.75" hidden="1" x14ac:dyDescent="0.25">
      <c r="A17" s="2">
        <v>44986</v>
      </c>
      <c r="B17" s="1" t="s">
        <v>12</v>
      </c>
      <c r="C17" s="3">
        <v>8571.4285714285706</v>
      </c>
      <c r="D17" s="3">
        <v>6000</v>
      </c>
      <c r="E17" s="3">
        <v>1428.5714285714287</v>
      </c>
      <c r="F17" s="1">
        <v>43</v>
      </c>
      <c r="G17" s="3" t="s">
        <v>11</v>
      </c>
      <c r="H17" s="4">
        <v>0.83</v>
      </c>
      <c r="I17" s="4">
        <v>0.72</v>
      </c>
      <c r="J17" s="4">
        <v>0.74</v>
      </c>
    </row>
    <row r="18" spans="1:10" ht="15.75" hidden="1" x14ac:dyDescent="0.25">
      <c r="A18" s="2">
        <v>44986</v>
      </c>
      <c r="B18" s="1" t="s">
        <v>13</v>
      </c>
      <c r="C18" s="3">
        <v>8571.4285714285706</v>
      </c>
      <c r="D18" s="1">
        <v>6500</v>
      </c>
      <c r="E18" s="3">
        <v>1428.5714285714287</v>
      </c>
      <c r="F18" s="1">
        <v>43</v>
      </c>
      <c r="G18" s="3" t="s">
        <v>11</v>
      </c>
      <c r="H18" s="4">
        <v>0.74</v>
      </c>
      <c r="I18" s="4">
        <v>0.78</v>
      </c>
      <c r="J18" s="4">
        <v>0.94</v>
      </c>
    </row>
    <row r="19" spans="1:10" ht="15.75" hidden="1" x14ac:dyDescent="0.25">
      <c r="A19" s="2">
        <v>44986</v>
      </c>
      <c r="B19" s="1" t="s">
        <v>14</v>
      </c>
      <c r="C19" s="3">
        <v>8571.4285714285706</v>
      </c>
      <c r="D19" s="1">
        <v>12000</v>
      </c>
      <c r="E19" s="3">
        <v>1428.5714285714287</v>
      </c>
      <c r="F19" s="1">
        <v>43</v>
      </c>
      <c r="G19" s="3" t="s">
        <v>11</v>
      </c>
      <c r="H19" s="4">
        <v>0.8</v>
      </c>
      <c r="I19" s="4">
        <v>0.84</v>
      </c>
      <c r="J19" s="4">
        <v>0.81</v>
      </c>
    </row>
    <row r="20" spans="1:10" ht="15.75" hidden="1" x14ac:dyDescent="0.25">
      <c r="A20" s="2">
        <v>44986</v>
      </c>
      <c r="B20" s="1" t="s">
        <v>15</v>
      </c>
      <c r="C20" s="3">
        <v>8571.4285714285706</v>
      </c>
      <c r="D20" s="1">
        <v>3000</v>
      </c>
      <c r="E20" s="3">
        <v>1428.5714285714287</v>
      </c>
      <c r="F20" s="1">
        <v>43</v>
      </c>
      <c r="G20" s="3" t="s">
        <v>11</v>
      </c>
      <c r="H20" s="4">
        <v>0.89</v>
      </c>
      <c r="I20" s="4">
        <v>0.99</v>
      </c>
      <c r="J20" s="4">
        <v>0.97</v>
      </c>
    </row>
    <row r="21" spans="1:10" ht="15.75" hidden="1" x14ac:dyDescent="0.25">
      <c r="A21" s="2">
        <v>44986</v>
      </c>
      <c r="B21" s="1" t="s">
        <v>16</v>
      </c>
      <c r="C21" s="3">
        <v>8571.4285714285706</v>
      </c>
      <c r="D21" s="1">
        <v>2000</v>
      </c>
      <c r="E21" s="3">
        <v>1428.5714285714287</v>
      </c>
      <c r="F21" s="1">
        <v>40</v>
      </c>
      <c r="G21" s="3" t="s">
        <v>11</v>
      </c>
      <c r="H21" s="4">
        <v>0.71</v>
      </c>
      <c r="I21" s="4">
        <v>0.87</v>
      </c>
      <c r="J21" s="4">
        <v>0.94</v>
      </c>
    </row>
    <row r="22" spans="1:10" ht="15.75" hidden="1" x14ac:dyDescent="0.25">
      <c r="A22" s="2">
        <v>44986</v>
      </c>
      <c r="B22" s="1" t="s">
        <v>17</v>
      </c>
      <c r="C22" s="3">
        <v>8571.4285714285706</v>
      </c>
      <c r="D22" s="1">
        <v>2000</v>
      </c>
      <c r="E22" s="3">
        <v>1428.5714285714287</v>
      </c>
      <c r="F22" s="1">
        <v>43</v>
      </c>
      <c r="G22" s="3" t="s">
        <v>11</v>
      </c>
      <c r="H22" s="4">
        <v>0.9</v>
      </c>
      <c r="I22" s="4">
        <v>0.72</v>
      </c>
      <c r="J22" s="4">
        <v>0.94</v>
      </c>
    </row>
    <row r="23" spans="1:10" ht="15.75" x14ac:dyDescent="0.25">
      <c r="A23" s="2">
        <v>45017</v>
      </c>
      <c r="B23" s="1" t="s">
        <v>10</v>
      </c>
      <c r="C23" s="3">
        <v>7857.1428571428569</v>
      </c>
      <c r="D23" s="3">
        <v>3000</v>
      </c>
      <c r="E23" s="3">
        <v>5714.2857142857147</v>
      </c>
      <c r="F23" s="1">
        <v>100</v>
      </c>
      <c r="G23" s="1" t="s">
        <v>18</v>
      </c>
      <c r="H23" s="4">
        <v>0.89</v>
      </c>
      <c r="I23" s="4">
        <v>0.85</v>
      </c>
      <c r="J23" s="4">
        <v>0.87</v>
      </c>
    </row>
    <row r="24" spans="1:10" ht="15.75" x14ac:dyDescent="0.25">
      <c r="A24" s="2">
        <v>45017</v>
      </c>
      <c r="B24" s="1" t="s">
        <v>12</v>
      </c>
      <c r="C24" s="3">
        <v>7857.1428571428569</v>
      </c>
      <c r="D24" s="3">
        <v>4500</v>
      </c>
      <c r="E24" s="3">
        <v>5714.2857142857147</v>
      </c>
      <c r="F24" s="1">
        <v>100</v>
      </c>
      <c r="G24" s="1" t="s">
        <v>18</v>
      </c>
      <c r="H24" s="4">
        <v>0.89</v>
      </c>
      <c r="I24" s="4">
        <v>0.8</v>
      </c>
      <c r="J24" s="4">
        <v>0.88</v>
      </c>
    </row>
    <row r="25" spans="1:10" ht="15.75" x14ac:dyDescent="0.25">
      <c r="A25" s="2">
        <v>45017</v>
      </c>
      <c r="B25" s="1" t="s">
        <v>13</v>
      </c>
      <c r="C25" s="3">
        <v>7857.1428571428569</v>
      </c>
      <c r="D25" s="1">
        <v>5500</v>
      </c>
      <c r="E25" s="3">
        <v>5714.2857142857147</v>
      </c>
      <c r="F25" s="1">
        <v>100</v>
      </c>
      <c r="G25" s="1" t="s">
        <v>18</v>
      </c>
      <c r="H25" s="4">
        <v>0.98</v>
      </c>
      <c r="I25" s="4">
        <v>0.99</v>
      </c>
      <c r="J25" s="4">
        <v>0.81</v>
      </c>
    </row>
    <row r="26" spans="1:10" ht="15.75" x14ac:dyDescent="0.25">
      <c r="A26" s="2">
        <v>45017</v>
      </c>
      <c r="B26" s="1" t="s">
        <v>14</v>
      </c>
      <c r="C26" s="3">
        <v>7857.1428571428569</v>
      </c>
      <c r="D26" s="1">
        <v>10000</v>
      </c>
      <c r="E26" s="3">
        <v>5714.2857142857147</v>
      </c>
      <c r="F26" s="1">
        <v>100</v>
      </c>
      <c r="G26" s="1" t="s">
        <v>18</v>
      </c>
      <c r="H26" s="4">
        <v>0.81</v>
      </c>
      <c r="I26" s="4">
        <v>0.91</v>
      </c>
      <c r="J26" s="4">
        <v>0.95</v>
      </c>
    </row>
    <row r="27" spans="1:10" ht="15.75" x14ac:dyDescent="0.25">
      <c r="A27" s="2">
        <v>45017</v>
      </c>
      <c r="B27" s="1" t="s">
        <v>15</v>
      </c>
      <c r="C27" s="3">
        <v>7857.1428571428569</v>
      </c>
      <c r="D27" s="1">
        <v>2000</v>
      </c>
      <c r="E27" s="3">
        <v>5714.2857142857147</v>
      </c>
      <c r="F27" s="1">
        <v>100</v>
      </c>
      <c r="G27" s="1" t="s">
        <v>18</v>
      </c>
      <c r="H27" s="4">
        <v>0.97</v>
      </c>
      <c r="I27" s="4">
        <v>0.85</v>
      </c>
      <c r="J27" s="4">
        <v>0.85</v>
      </c>
    </row>
    <row r="28" spans="1:10" ht="15.75" x14ac:dyDescent="0.25">
      <c r="A28" s="2">
        <v>45017</v>
      </c>
      <c r="B28" s="1" t="s">
        <v>16</v>
      </c>
      <c r="C28" s="3">
        <v>7857.1428571428569</v>
      </c>
      <c r="D28" s="1">
        <v>2000</v>
      </c>
      <c r="E28" s="3">
        <v>5714.2857142857147</v>
      </c>
      <c r="F28" s="1">
        <v>100</v>
      </c>
      <c r="G28" s="1" t="s">
        <v>18</v>
      </c>
      <c r="H28" s="4">
        <v>0.89</v>
      </c>
      <c r="I28" s="4">
        <v>0.94</v>
      </c>
      <c r="J28" s="4">
        <v>0.8</v>
      </c>
    </row>
    <row r="29" spans="1:10" ht="15.75" x14ac:dyDescent="0.25">
      <c r="A29" s="2">
        <v>45017</v>
      </c>
      <c r="B29" s="1" t="s">
        <v>17</v>
      </c>
      <c r="C29" s="3">
        <v>7857.1428571428569</v>
      </c>
      <c r="D29" s="1">
        <v>2000</v>
      </c>
      <c r="E29" s="3">
        <v>5714.2857142857147</v>
      </c>
      <c r="F29" s="1">
        <v>100</v>
      </c>
      <c r="G29" s="1" t="s">
        <v>18</v>
      </c>
      <c r="H29" s="4">
        <v>0.88</v>
      </c>
      <c r="I29" s="4">
        <v>0.94</v>
      </c>
      <c r="J29" s="4">
        <v>0.7</v>
      </c>
    </row>
    <row r="30" spans="1:10" ht="15.75" x14ac:dyDescent="0.25">
      <c r="A30" s="2">
        <v>45047</v>
      </c>
      <c r="B30" s="1" t="s">
        <v>10</v>
      </c>
      <c r="C30" s="3">
        <v>11428.571428571429</v>
      </c>
      <c r="D30" s="3">
        <v>20000</v>
      </c>
      <c r="E30" s="3">
        <v>2857.1428571428573</v>
      </c>
      <c r="F30" s="1">
        <v>90</v>
      </c>
      <c r="G30" s="1" t="s">
        <v>18</v>
      </c>
      <c r="H30" s="4">
        <v>0.75</v>
      </c>
      <c r="I30" s="4">
        <v>0.77</v>
      </c>
      <c r="J30" s="4">
        <v>0.84</v>
      </c>
    </row>
    <row r="31" spans="1:10" ht="15.75" x14ac:dyDescent="0.25">
      <c r="A31" s="2">
        <v>45047</v>
      </c>
      <c r="B31" s="1" t="s">
        <v>12</v>
      </c>
      <c r="C31" s="3">
        <v>11428.571428571429</v>
      </c>
      <c r="D31" s="3">
        <v>17000</v>
      </c>
      <c r="E31" s="3">
        <v>2857.1428571428573</v>
      </c>
      <c r="F31" s="1">
        <v>80</v>
      </c>
      <c r="G31" s="1" t="s">
        <v>18</v>
      </c>
      <c r="H31" s="4">
        <v>0.73</v>
      </c>
      <c r="I31" s="4">
        <v>0.96</v>
      </c>
      <c r="J31" s="4">
        <v>0.93</v>
      </c>
    </row>
    <row r="32" spans="1:10" ht="15.75" x14ac:dyDescent="0.25">
      <c r="A32" s="2">
        <v>45047</v>
      </c>
      <c r="B32" s="1" t="s">
        <v>13</v>
      </c>
      <c r="C32" s="3">
        <v>11428.571428571429</v>
      </c>
      <c r="D32" s="1">
        <v>16000</v>
      </c>
      <c r="E32" s="3">
        <v>2857.1428571428573</v>
      </c>
      <c r="F32" s="1">
        <v>90</v>
      </c>
      <c r="G32" s="1" t="s">
        <v>18</v>
      </c>
      <c r="H32" s="4">
        <v>0.93</v>
      </c>
      <c r="I32" s="4">
        <v>0.74</v>
      </c>
      <c r="J32" s="4">
        <v>0.93</v>
      </c>
    </row>
    <row r="33" spans="1:12" ht="15.75" x14ac:dyDescent="0.25">
      <c r="A33" s="2">
        <v>45047</v>
      </c>
      <c r="B33" s="1" t="s">
        <v>14</v>
      </c>
      <c r="C33" s="3">
        <v>11428.571428571429</v>
      </c>
      <c r="D33" s="1">
        <v>12000</v>
      </c>
      <c r="E33" s="3">
        <v>2857.1428571428573</v>
      </c>
      <c r="F33" s="1">
        <v>110</v>
      </c>
      <c r="G33" s="1" t="s">
        <v>18</v>
      </c>
      <c r="H33" s="4">
        <v>0.85</v>
      </c>
      <c r="I33" s="4">
        <v>0.7</v>
      </c>
      <c r="J33" s="4">
        <v>0.99</v>
      </c>
    </row>
    <row r="34" spans="1:12" ht="15.75" x14ac:dyDescent="0.25">
      <c r="A34" s="2">
        <v>45047</v>
      </c>
      <c r="B34" s="1" t="s">
        <v>15</v>
      </c>
      <c r="C34" s="3">
        <v>11428.571428571429</v>
      </c>
      <c r="D34" s="1">
        <v>20500</v>
      </c>
      <c r="E34" s="3">
        <v>2857.1428571428573</v>
      </c>
      <c r="F34" s="1">
        <v>90</v>
      </c>
      <c r="G34" s="1" t="s">
        <v>18</v>
      </c>
      <c r="H34" s="4">
        <v>0.92</v>
      </c>
      <c r="I34" s="4">
        <v>0.99</v>
      </c>
      <c r="J34" s="4">
        <v>0.88</v>
      </c>
    </row>
    <row r="35" spans="1:12" ht="15.75" x14ac:dyDescent="0.25">
      <c r="A35" s="2">
        <v>45047</v>
      </c>
      <c r="B35" s="1" t="s">
        <v>16</v>
      </c>
      <c r="C35" s="3">
        <v>11428.571428571429</v>
      </c>
      <c r="D35" s="1">
        <v>21000</v>
      </c>
      <c r="E35" s="3">
        <v>2857.1428571428573</v>
      </c>
      <c r="F35" s="1">
        <v>100</v>
      </c>
      <c r="G35" s="1" t="s">
        <v>18</v>
      </c>
      <c r="H35" s="4">
        <v>0.75</v>
      </c>
      <c r="I35" s="4">
        <v>0.97</v>
      </c>
      <c r="J35" s="4">
        <v>0.83</v>
      </c>
    </row>
    <row r="36" spans="1:12" ht="15.75" x14ac:dyDescent="0.25">
      <c r="A36" s="2">
        <v>45047</v>
      </c>
      <c r="B36" s="1" t="s">
        <v>17</v>
      </c>
      <c r="C36" s="3">
        <v>11428.571428571429</v>
      </c>
      <c r="D36" s="1">
        <v>21500</v>
      </c>
      <c r="E36" s="3">
        <v>2857.1428571428573</v>
      </c>
      <c r="F36" s="1">
        <v>90</v>
      </c>
      <c r="G36" s="1" t="s">
        <v>18</v>
      </c>
      <c r="H36" s="4">
        <v>0.77</v>
      </c>
      <c r="I36" s="4">
        <v>0.97</v>
      </c>
      <c r="J36" s="4">
        <v>0.78</v>
      </c>
    </row>
    <row r="37" spans="1:12" ht="15.75" x14ac:dyDescent="0.25">
      <c r="A37" s="2">
        <v>45078</v>
      </c>
      <c r="B37" s="1" t="s">
        <v>10</v>
      </c>
      <c r="C37" s="3">
        <v>14285.714285714286</v>
      </c>
      <c r="D37" s="3">
        <v>22000</v>
      </c>
      <c r="E37" s="3">
        <v>857.14285714285711</v>
      </c>
      <c r="F37" s="1">
        <v>228</v>
      </c>
      <c r="G37" s="1" t="s">
        <v>18</v>
      </c>
      <c r="H37" s="4">
        <v>0.79</v>
      </c>
      <c r="I37" s="4">
        <v>0.75</v>
      </c>
      <c r="J37" s="4">
        <v>0.93</v>
      </c>
    </row>
    <row r="38" spans="1:12" ht="15.75" x14ac:dyDescent="0.25">
      <c r="A38" s="2">
        <v>45078</v>
      </c>
      <c r="B38" s="1" t="s">
        <v>12</v>
      </c>
      <c r="C38" s="3">
        <v>14285.714285714286</v>
      </c>
      <c r="D38" s="3">
        <v>18000</v>
      </c>
      <c r="E38" s="3">
        <v>857.14285714285711</v>
      </c>
      <c r="F38" s="1">
        <v>220</v>
      </c>
      <c r="G38" s="1" t="s">
        <v>18</v>
      </c>
      <c r="H38" s="4">
        <v>0.81</v>
      </c>
      <c r="I38" s="4">
        <v>0.98</v>
      </c>
      <c r="J38" s="4">
        <v>0.86</v>
      </c>
    </row>
    <row r="39" spans="1:12" ht="15.75" x14ac:dyDescent="0.25">
      <c r="A39" s="2">
        <v>45078</v>
      </c>
      <c r="B39" s="1" t="s">
        <v>13</v>
      </c>
      <c r="C39" s="3">
        <v>14285.714285714286</v>
      </c>
      <c r="D39" s="1">
        <v>18500</v>
      </c>
      <c r="E39" s="3">
        <v>857.14285714285711</v>
      </c>
      <c r="F39" s="1">
        <v>228</v>
      </c>
      <c r="G39" s="1" t="s">
        <v>18</v>
      </c>
      <c r="H39" s="4">
        <v>0.86</v>
      </c>
      <c r="I39" s="4">
        <v>0.82</v>
      </c>
      <c r="J39" s="4">
        <v>0.86</v>
      </c>
    </row>
    <row r="40" spans="1:12" ht="15.75" x14ac:dyDescent="0.25">
      <c r="A40" s="2">
        <v>45078</v>
      </c>
      <c r="B40" s="1" t="s">
        <v>14</v>
      </c>
      <c r="C40" s="3">
        <v>14285.714285714286</v>
      </c>
      <c r="D40" s="1">
        <v>14314</v>
      </c>
      <c r="E40" s="3">
        <v>857.14285714285711</v>
      </c>
      <c r="F40" s="1">
        <v>238</v>
      </c>
      <c r="G40" s="1" t="s">
        <v>18</v>
      </c>
      <c r="H40" s="4">
        <v>0.72</v>
      </c>
      <c r="I40" s="4">
        <v>0.95</v>
      </c>
      <c r="J40" s="4">
        <v>0.9</v>
      </c>
    </row>
    <row r="41" spans="1:12" ht="15.75" x14ac:dyDescent="0.25">
      <c r="A41" s="2">
        <v>45078</v>
      </c>
      <c r="B41" s="1" t="s">
        <v>15</v>
      </c>
      <c r="C41" s="3">
        <v>14285.714285714286</v>
      </c>
      <c r="D41" s="1">
        <v>21000</v>
      </c>
      <c r="E41" s="3">
        <v>857.14285714285711</v>
      </c>
      <c r="F41" s="1">
        <v>228</v>
      </c>
      <c r="G41" s="1" t="s">
        <v>18</v>
      </c>
      <c r="H41" s="4">
        <v>0.71</v>
      </c>
      <c r="I41" s="4">
        <v>0.8</v>
      </c>
      <c r="J41" s="4">
        <v>0.76</v>
      </c>
    </row>
    <row r="42" spans="1:12" ht="15.75" x14ac:dyDescent="0.25">
      <c r="A42" s="2">
        <v>45078</v>
      </c>
      <c r="B42" s="1" t="s">
        <v>16</v>
      </c>
      <c r="C42" s="3">
        <v>14285.714285714286</v>
      </c>
      <c r="D42" s="1">
        <v>22500</v>
      </c>
      <c r="E42" s="3">
        <v>857.14285714285711</v>
      </c>
      <c r="F42" s="1">
        <v>230</v>
      </c>
      <c r="G42" s="1" t="s">
        <v>18</v>
      </c>
      <c r="H42" s="4">
        <v>0.97</v>
      </c>
      <c r="I42" s="4">
        <v>0.95</v>
      </c>
      <c r="J42" s="4">
        <v>0.85</v>
      </c>
    </row>
    <row r="43" spans="1:12" ht="15.75" x14ac:dyDescent="0.25">
      <c r="A43" s="2">
        <v>45078</v>
      </c>
      <c r="B43" s="1" t="s">
        <v>17</v>
      </c>
      <c r="C43" s="3">
        <v>14285.714285714286</v>
      </c>
      <c r="D43" s="1">
        <v>22900</v>
      </c>
      <c r="E43" s="3">
        <v>857.14285714285711</v>
      </c>
      <c r="F43" s="1">
        <v>228</v>
      </c>
      <c r="G43" s="1" t="s">
        <v>18</v>
      </c>
      <c r="H43" s="4">
        <v>0.95</v>
      </c>
      <c r="I43" s="4">
        <v>0.85</v>
      </c>
      <c r="J43" s="4">
        <v>0.91</v>
      </c>
    </row>
    <row r="44" spans="1:12" ht="15.75" hidden="1" x14ac:dyDescent="0.25">
      <c r="A44" s="2">
        <v>45108</v>
      </c>
      <c r="B44" s="1" t="s">
        <v>10</v>
      </c>
      <c r="C44" s="3">
        <v>18562.957142857143</v>
      </c>
      <c r="D44" s="3">
        <v>25000</v>
      </c>
      <c r="E44" s="3">
        <v>714.28571428571433</v>
      </c>
      <c r="F44" s="1">
        <v>250</v>
      </c>
      <c r="G44" s="1" t="s">
        <v>19</v>
      </c>
      <c r="H44" s="4">
        <v>0.97</v>
      </c>
      <c r="I44" s="4">
        <v>0.7</v>
      </c>
      <c r="J44" s="4">
        <v>0.93</v>
      </c>
      <c r="K44" s="5"/>
      <c r="L44" s="5"/>
    </row>
    <row r="45" spans="1:12" ht="15.75" hidden="1" x14ac:dyDescent="0.25">
      <c r="A45" s="2">
        <v>45108</v>
      </c>
      <c r="B45" s="1" t="s">
        <v>12</v>
      </c>
      <c r="C45" s="3">
        <v>18562.957142857143</v>
      </c>
      <c r="D45" s="3">
        <v>22000</v>
      </c>
      <c r="E45" s="3">
        <v>714.28571428571433</v>
      </c>
      <c r="F45" s="1">
        <v>240</v>
      </c>
      <c r="G45" s="1" t="s">
        <v>19</v>
      </c>
      <c r="H45" s="4">
        <v>0.9</v>
      </c>
      <c r="I45" s="4">
        <v>0.98</v>
      </c>
      <c r="J45" s="4">
        <v>0.96</v>
      </c>
    </row>
    <row r="46" spans="1:12" ht="15.75" hidden="1" x14ac:dyDescent="0.25">
      <c r="A46" s="2">
        <v>45108</v>
      </c>
      <c r="B46" s="1" t="s">
        <v>13</v>
      </c>
      <c r="C46" s="3">
        <v>18562.957142857143</v>
      </c>
      <c r="D46" s="1">
        <v>25000</v>
      </c>
      <c r="E46" s="3">
        <v>714.28571428571433</v>
      </c>
      <c r="F46" s="1">
        <v>270</v>
      </c>
      <c r="G46" s="1" t="s">
        <v>19</v>
      </c>
      <c r="H46" s="4">
        <v>0.9</v>
      </c>
      <c r="I46" s="4">
        <v>0.95</v>
      </c>
      <c r="J46" s="4">
        <v>0.98</v>
      </c>
    </row>
    <row r="47" spans="1:12" ht="15.75" hidden="1" x14ac:dyDescent="0.25">
      <c r="A47" s="2">
        <v>45108</v>
      </c>
      <c r="B47" s="1" t="s">
        <v>14</v>
      </c>
      <c r="C47" s="3">
        <v>18562.957142857143</v>
      </c>
      <c r="D47" s="1">
        <v>25000</v>
      </c>
      <c r="E47" s="3">
        <v>714.28571428571433</v>
      </c>
      <c r="F47" s="1">
        <v>259</v>
      </c>
      <c r="G47" s="1" t="s">
        <v>19</v>
      </c>
      <c r="H47" s="4">
        <v>0.96</v>
      </c>
      <c r="I47" s="4">
        <v>0.81</v>
      </c>
      <c r="J47" s="4">
        <v>0.85</v>
      </c>
    </row>
    <row r="48" spans="1:12" ht="15.75" hidden="1" x14ac:dyDescent="0.25">
      <c r="A48" s="2">
        <v>45108</v>
      </c>
      <c r="B48" s="1" t="s">
        <v>15</v>
      </c>
      <c r="C48" s="3">
        <v>18562.957142857143</v>
      </c>
      <c r="D48" s="1">
        <v>25000</v>
      </c>
      <c r="E48" s="3">
        <v>714.28571428571433</v>
      </c>
      <c r="F48" s="1">
        <v>260</v>
      </c>
      <c r="G48" s="1" t="s">
        <v>19</v>
      </c>
      <c r="H48" s="4">
        <v>0.98</v>
      </c>
      <c r="I48" s="4">
        <v>0.84</v>
      </c>
      <c r="J48" s="4">
        <v>0.89</v>
      </c>
    </row>
    <row r="49" spans="1:10" ht="15.75" hidden="1" x14ac:dyDescent="0.25">
      <c r="A49" s="2">
        <v>45108</v>
      </c>
      <c r="B49" s="1" t="s">
        <v>16</v>
      </c>
      <c r="C49" s="3">
        <v>18562.957142857143</v>
      </c>
      <c r="D49" s="1">
        <v>25000</v>
      </c>
      <c r="E49" s="3">
        <v>714.28571428571433</v>
      </c>
      <c r="F49" s="1">
        <v>260</v>
      </c>
      <c r="G49" s="1" t="s">
        <v>19</v>
      </c>
      <c r="H49" s="4">
        <v>0.76</v>
      </c>
      <c r="I49" s="4">
        <v>0.7</v>
      </c>
      <c r="J49" s="4">
        <v>0.86</v>
      </c>
    </row>
    <row r="50" spans="1:10" ht="15.75" hidden="1" x14ac:dyDescent="0.25">
      <c r="A50" s="2">
        <v>45108</v>
      </c>
      <c r="B50" s="1" t="s">
        <v>17</v>
      </c>
      <c r="C50" s="3">
        <v>18562.957142857143</v>
      </c>
      <c r="D50" s="1">
        <v>25000</v>
      </c>
      <c r="E50" s="3">
        <v>714.28571428571433</v>
      </c>
      <c r="F50" s="1">
        <v>261</v>
      </c>
      <c r="G50" s="1" t="s">
        <v>19</v>
      </c>
      <c r="H50" s="4">
        <v>0.91</v>
      </c>
      <c r="I50" s="4">
        <v>0.77</v>
      </c>
      <c r="J50" s="4">
        <v>0.75</v>
      </c>
    </row>
    <row r="51" spans="1:10" ht="15.75" hidden="1" x14ac:dyDescent="0.25">
      <c r="A51" s="2">
        <v>45139</v>
      </c>
      <c r="B51" s="1" t="s">
        <v>10</v>
      </c>
      <c r="C51" s="3">
        <v>18571.428571428572</v>
      </c>
      <c r="D51" s="3">
        <v>25000</v>
      </c>
      <c r="E51" s="3">
        <v>714.28571428571433</v>
      </c>
      <c r="F51" s="1">
        <v>242</v>
      </c>
      <c r="G51" s="1" t="s">
        <v>19</v>
      </c>
      <c r="H51" s="4">
        <v>0.79</v>
      </c>
      <c r="I51" s="4">
        <v>0.81</v>
      </c>
      <c r="J51" s="4">
        <v>0.74</v>
      </c>
    </row>
    <row r="52" spans="1:10" ht="15.75" hidden="1" x14ac:dyDescent="0.25">
      <c r="A52" s="2">
        <v>45139</v>
      </c>
      <c r="B52" s="1" t="s">
        <v>12</v>
      </c>
      <c r="C52" s="3">
        <v>18571.428571428572</v>
      </c>
      <c r="D52" s="3">
        <v>22500</v>
      </c>
      <c r="E52" s="3">
        <v>714.28571428571433</v>
      </c>
      <c r="F52" s="1">
        <v>250</v>
      </c>
      <c r="G52" s="1" t="s">
        <v>19</v>
      </c>
      <c r="H52" s="4">
        <v>0.85</v>
      </c>
      <c r="I52" s="4">
        <v>0.82</v>
      </c>
      <c r="J52" s="4">
        <v>0.73</v>
      </c>
    </row>
    <row r="53" spans="1:10" ht="15.75" hidden="1" x14ac:dyDescent="0.25">
      <c r="A53" s="2">
        <v>45139</v>
      </c>
      <c r="B53" s="1" t="s">
        <v>13</v>
      </c>
      <c r="C53" s="3">
        <v>18571.428571428572</v>
      </c>
      <c r="D53" s="1">
        <v>25000</v>
      </c>
      <c r="E53" s="3">
        <v>714.28571428571433</v>
      </c>
      <c r="F53" s="1">
        <v>242</v>
      </c>
      <c r="G53" s="1" t="s">
        <v>19</v>
      </c>
      <c r="H53" s="4">
        <v>0.88</v>
      </c>
      <c r="I53" s="4">
        <v>0.84</v>
      </c>
      <c r="J53" s="4">
        <v>0.75</v>
      </c>
    </row>
    <row r="54" spans="1:10" ht="15.75" hidden="1" x14ac:dyDescent="0.25">
      <c r="A54" s="2">
        <v>45139</v>
      </c>
      <c r="B54" s="1" t="s">
        <v>14</v>
      </c>
      <c r="C54" s="3">
        <v>18571.428571428572</v>
      </c>
      <c r="D54" s="1">
        <v>25000</v>
      </c>
      <c r="E54" s="3">
        <v>714.28571428571433</v>
      </c>
      <c r="F54" s="1">
        <v>242</v>
      </c>
      <c r="G54" s="1" t="s">
        <v>19</v>
      </c>
      <c r="H54" s="4">
        <v>0.81</v>
      </c>
      <c r="I54" s="4">
        <v>0.92</v>
      </c>
      <c r="J54" s="4">
        <v>0.91</v>
      </c>
    </row>
    <row r="55" spans="1:10" ht="15.75" hidden="1" x14ac:dyDescent="0.25">
      <c r="A55" s="2">
        <v>45139</v>
      </c>
      <c r="B55" s="1" t="s">
        <v>15</v>
      </c>
      <c r="C55" s="3">
        <v>18571.428571428572</v>
      </c>
      <c r="D55" s="1">
        <v>25000</v>
      </c>
      <c r="E55" s="3">
        <v>714.28571428571433</v>
      </c>
      <c r="F55" s="1">
        <v>242</v>
      </c>
      <c r="G55" s="1" t="s">
        <v>19</v>
      </c>
      <c r="H55" s="4">
        <v>0.84</v>
      </c>
      <c r="I55" s="4">
        <v>0.73</v>
      </c>
      <c r="J55" s="4">
        <v>0.99</v>
      </c>
    </row>
    <row r="56" spans="1:10" ht="15.75" hidden="1" x14ac:dyDescent="0.25">
      <c r="A56" s="2">
        <v>45139</v>
      </c>
      <c r="B56" s="1" t="s">
        <v>16</v>
      </c>
      <c r="C56" s="3">
        <v>18571.428571428572</v>
      </c>
      <c r="D56" s="1">
        <v>25000</v>
      </c>
      <c r="E56" s="3">
        <v>714.28571428571433</v>
      </c>
      <c r="F56" s="1">
        <v>240</v>
      </c>
      <c r="G56" s="1" t="s">
        <v>19</v>
      </c>
      <c r="H56" s="4">
        <v>0.93</v>
      </c>
      <c r="I56" s="4">
        <v>0.79</v>
      </c>
      <c r="J56" s="4">
        <v>0.72</v>
      </c>
    </row>
    <row r="57" spans="1:10" ht="15.75" hidden="1" x14ac:dyDescent="0.25">
      <c r="A57" s="2">
        <v>45139</v>
      </c>
      <c r="B57" s="1" t="s">
        <v>17</v>
      </c>
      <c r="C57" s="3">
        <v>18571.428571428572</v>
      </c>
      <c r="D57" s="1">
        <v>25000</v>
      </c>
      <c r="E57" s="3">
        <v>714.28571428571433</v>
      </c>
      <c r="F57" s="1">
        <v>242</v>
      </c>
      <c r="G57" s="1" t="s">
        <v>19</v>
      </c>
      <c r="H57" s="4">
        <v>0.84</v>
      </c>
      <c r="I57" s="4">
        <v>0.79</v>
      </c>
      <c r="J57" s="4">
        <v>0.8</v>
      </c>
    </row>
    <row r="58" spans="1:10" ht="15.75" hidden="1" x14ac:dyDescent="0.25">
      <c r="A58" s="2">
        <v>45170</v>
      </c>
      <c r="B58" s="1" t="s">
        <v>10</v>
      </c>
      <c r="C58" s="3">
        <v>17857.142857142859</v>
      </c>
      <c r="D58" s="3">
        <v>22500</v>
      </c>
      <c r="E58" s="3">
        <v>285.71428571428572</v>
      </c>
      <c r="F58" s="1">
        <v>285</v>
      </c>
      <c r="G58" s="1" t="s">
        <v>19</v>
      </c>
      <c r="H58" s="4">
        <v>0.85</v>
      </c>
      <c r="I58" s="4">
        <v>0.91</v>
      </c>
      <c r="J58" s="4">
        <v>0.84</v>
      </c>
    </row>
    <row r="59" spans="1:10" ht="15.75" hidden="1" x14ac:dyDescent="0.25">
      <c r="A59" s="2">
        <v>45170</v>
      </c>
      <c r="B59" s="1" t="s">
        <v>12</v>
      </c>
      <c r="C59" s="3">
        <v>17857.142857142859</v>
      </c>
      <c r="D59" s="3">
        <v>21500</v>
      </c>
      <c r="E59" s="3">
        <v>285.71428571428572</v>
      </c>
      <c r="F59" s="1">
        <v>275</v>
      </c>
      <c r="G59" s="1" t="s">
        <v>19</v>
      </c>
      <c r="H59" s="4">
        <v>0.86</v>
      </c>
      <c r="I59" s="4">
        <v>0.75</v>
      </c>
      <c r="J59" s="4">
        <v>0.96</v>
      </c>
    </row>
    <row r="60" spans="1:10" ht="15.75" hidden="1" x14ac:dyDescent="0.25">
      <c r="A60" s="2">
        <v>45170</v>
      </c>
      <c r="B60" s="1" t="s">
        <v>13</v>
      </c>
      <c r="C60" s="3">
        <v>17857.142857142859</v>
      </c>
      <c r="D60" s="1">
        <v>24000</v>
      </c>
      <c r="E60" s="3">
        <v>285.71428571428572</v>
      </c>
      <c r="F60" s="1">
        <v>285</v>
      </c>
      <c r="G60" s="1" t="s">
        <v>19</v>
      </c>
      <c r="H60" s="4">
        <v>0.96</v>
      </c>
      <c r="I60" s="4">
        <v>0.77</v>
      </c>
      <c r="J60" s="4">
        <v>0.92</v>
      </c>
    </row>
    <row r="61" spans="1:10" ht="15.75" hidden="1" x14ac:dyDescent="0.25">
      <c r="A61" s="2">
        <v>45170</v>
      </c>
      <c r="B61" s="1" t="s">
        <v>14</v>
      </c>
      <c r="C61" s="3">
        <v>17857.142857142859</v>
      </c>
      <c r="D61" s="1">
        <v>24500</v>
      </c>
      <c r="E61" s="3">
        <v>285.71428571428572</v>
      </c>
      <c r="F61" s="1">
        <v>290</v>
      </c>
      <c r="G61" s="1" t="s">
        <v>19</v>
      </c>
      <c r="H61" s="4">
        <v>0.99</v>
      </c>
      <c r="I61" s="4">
        <v>0.97</v>
      </c>
      <c r="J61" s="4">
        <v>0.73</v>
      </c>
    </row>
    <row r="62" spans="1:10" ht="15.75" hidden="1" x14ac:dyDescent="0.25">
      <c r="A62" s="2">
        <v>45170</v>
      </c>
      <c r="B62" s="1" t="s">
        <v>15</v>
      </c>
      <c r="C62" s="3">
        <v>17857.142857142859</v>
      </c>
      <c r="D62" s="1">
        <v>24500</v>
      </c>
      <c r="E62" s="3">
        <v>285.71428571428572</v>
      </c>
      <c r="F62" s="1">
        <v>310</v>
      </c>
      <c r="G62" s="1" t="s">
        <v>19</v>
      </c>
      <c r="H62" s="4">
        <v>0.77</v>
      </c>
      <c r="I62" s="4">
        <v>0.72</v>
      </c>
      <c r="J62" s="4">
        <v>0.85</v>
      </c>
    </row>
    <row r="63" spans="1:10" ht="15.75" hidden="1" x14ac:dyDescent="0.25">
      <c r="A63" s="2">
        <v>45170</v>
      </c>
      <c r="B63" s="1" t="s">
        <v>16</v>
      </c>
      <c r="C63" s="3">
        <v>17857.142857142859</v>
      </c>
      <c r="D63" s="1">
        <v>24500</v>
      </c>
      <c r="E63" s="3">
        <v>285.71428571428572</v>
      </c>
      <c r="F63" s="1">
        <v>270</v>
      </c>
      <c r="G63" s="1" t="s">
        <v>19</v>
      </c>
      <c r="H63" s="4">
        <v>0.77</v>
      </c>
      <c r="I63" s="4">
        <v>0.96</v>
      </c>
      <c r="J63" s="4">
        <v>0.78</v>
      </c>
    </row>
    <row r="64" spans="1:10" ht="15.75" hidden="1" x14ac:dyDescent="0.25">
      <c r="A64" s="2">
        <v>45170</v>
      </c>
      <c r="B64" s="1" t="s">
        <v>17</v>
      </c>
      <c r="C64" s="3">
        <v>17857.142857142859</v>
      </c>
      <c r="D64" s="1">
        <v>24500</v>
      </c>
      <c r="E64" s="3">
        <v>285.71428571428572</v>
      </c>
      <c r="F64" s="1">
        <v>285</v>
      </c>
      <c r="G64" s="1" t="s">
        <v>19</v>
      </c>
      <c r="H64" s="4">
        <v>0.78</v>
      </c>
      <c r="I64" s="4">
        <v>0.8</v>
      </c>
      <c r="J64" s="4">
        <v>0.85</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0"/>
  <sheetViews>
    <sheetView workbookViewId="0">
      <selection activeCell="H3" sqref="H3:J12"/>
    </sheetView>
  </sheetViews>
  <sheetFormatPr defaultColWidth="11.25" defaultRowHeight="15" customHeight="1" x14ac:dyDescent="0.25"/>
  <cols>
    <col min="1" max="1" width="35.375" customWidth="1"/>
    <col min="2" max="2" width="10.25" customWidth="1"/>
    <col min="3" max="3" width="10.875" customWidth="1"/>
    <col min="4" max="4" width="16.5" customWidth="1"/>
    <col min="5" max="5" width="10.25" customWidth="1"/>
    <col min="6" max="7" width="8.5" customWidth="1"/>
    <col min="8" max="8" width="12.25" customWidth="1"/>
    <col min="9" max="9" width="8.5" customWidth="1"/>
    <col min="10" max="10" width="13.5" customWidth="1"/>
    <col min="11" max="11" width="8.5" customWidth="1"/>
    <col min="12" max="12" width="12.25" customWidth="1"/>
    <col min="13" max="13" width="18.125" customWidth="1"/>
    <col min="14" max="14" width="11" customWidth="1"/>
    <col min="15" max="15" width="12.25" customWidth="1"/>
    <col min="16" max="16" width="14.125" customWidth="1"/>
    <col min="17" max="26" width="8.5" customWidth="1"/>
  </cols>
  <sheetData>
    <row r="1" spans="1:16" x14ac:dyDescent="0.25"/>
    <row r="2" spans="1:16" x14ac:dyDescent="0.25">
      <c r="A2" s="9" t="s">
        <v>20</v>
      </c>
      <c r="B2" s="10" t="s">
        <v>38</v>
      </c>
      <c r="D2" s="17" t="s">
        <v>38</v>
      </c>
      <c r="E2" s="18" t="s">
        <v>21</v>
      </c>
      <c r="H2" s="17" t="s">
        <v>22</v>
      </c>
      <c r="I2" s="24" t="s">
        <v>23</v>
      </c>
      <c r="J2" s="10" t="s">
        <v>24</v>
      </c>
      <c r="L2" s="17" t="s">
        <v>22</v>
      </c>
      <c r="M2" s="10" t="s">
        <v>25</v>
      </c>
      <c r="O2" s="17" t="s">
        <v>22</v>
      </c>
      <c r="P2" s="10" t="s">
        <v>26</v>
      </c>
    </row>
    <row r="3" spans="1:16" x14ac:dyDescent="0.25">
      <c r="A3" s="7" t="s">
        <v>27</v>
      </c>
      <c r="B3" s="8">
        <v>754940.69999999902</v>
      </c>
      <c r="C3" s="3"/>
      <c r="D3" s="15" t="s">
        <v>2</v>
      </c>
      <c r="E3" s="16">
        <f>B3</f>
        <v>754940.69999999902</v>
      </c>
      <c r="H3" s="23">
        <v>44927</v>
      </c>
      <c r="I3" s="6">
        <v>30000</v>
      </c>
      <c r="J3" s="8">
        <v>20000.000000000004</v>
      </c>
      <c r="L3" s="23">
        <v>44927</v>
      </c>
      <c r="M3" s="8">
        <v>300</v>
      </c>
      <c r="O3" s="7" t="s">
        <v>10</v>
      </c>
      <c r="P3" s="8">
        <v>126081</v>
      </c>
    </row>
    <row r="4" spans="1:16" x14ac:dyDescent="0.25">
      <c r="A4" s="7" t="s">
        <v>26</v>
      </c>
      <c r="B4" s="8">
        <v>891111</v>
      </c>
      <c r="C4" s="3"/>
      <c r="D4" s="15" t="s">
        <v>3</v>
      </c>
      <c r="E4" s="16">
        <f>B4</f>
        <v>891111</v>
      </c>
      <c r="H4" s="23">
        <v>44958</v>
      </c>
      <c r="I4" s="6">
        <v>45000</v>
      </c>
      <c r="J4" s="8">
        <v>10000.000000000002</v>
      </c>
      <c r="L4" s="23">
        <v>44958</v>
      </c>
      <c r="M4" s="8">
        <v>310</v>
      </c>
      <c r="O4" s="7" t="s">
        <v>12</v>
      </c>
      <c r="P4" s="8">
        <v>129875</v>
      </c>
    </row>
    <row r="5" spans="1:16" x14ac:dyDescent="0.25">
      <c r="A5" s="11" t="s">
        <v>25</v>
      </c>
      <c r="B5" s="12">
        <v>9360</v>
      </c>
      <c r="C5" s="3"/>
      <c r="D5" s="19" t="s">
        <v>5</v>
      </c>
      <c r="E5" s="12">
        <f>B5</f>
        <v>9360</v>
      </c>
      <c r="H5" s="23">
        <v>44986</v>
      </c>
      <c r="I5" s="6">
        <v>60000</v>
      </c>
      <c r="J5" s="8">
        <v>10000.000000000002</v>
      </c>
      <c r="L5" s="23">
        <v>44986</v>
      </c>
      <c r="M5" s="8">
        <v>300</v>
      </c>
      <c r="O5" s="7" t="s">
        <v>13</v>
      </c>
      <c r="P5" s="8">
        <v>126793</v>
      </c>
    </row>
    <row r="6" spans="1:16" x14ac:dyDescent="0.25">
      <c r="H6" s="23">
        <v>45017</v>
      </c>
      <c r="I6" s="6">
        <v>54999.999999999993</v>
      </c>
      <c r="J6" s="8">
        <v>40000.000000000007</v>
      </c>
      <c r="L6" s="23">
        <v>45017</v>
      </c>
      <c r="M6" s="8">
        <v>700</v>
      </c>
      <c r="O6" s="7" t="s">
        <v>14</v>
      </c>
      <c r="P6" s="8">
        <v>128833</v>
      </c>
    </row>
    <row r="7" spans="1:16" x14ac:dyDescent="0.25">
      <c r="H7" s="23">
        <v>45047</v>
      </c>
      <c r="I7" s="6">
        <v>80000.000000000015</v>
      </c>
      <c r="J7" s="8">
        <v>20000.000000000004</v>
      </c>
      <c r="L7" s="23">
        <v>45047</v>
      </c>
      <c r="M7" s="8">
        <v>650</v>
      </c>
      <c r="O7" s="7" t="s">
        <v>15</v>
      </c>
      <c r="P7" s="8">
        <v>125980</v>
      </c>
    </row>
    <row r="8" spans="1:16" x14ac:dyDescent="0.25">
      <c r="A8" s="13" t="s">
        <v>28</v>
      </c>
      <c r="D8" s="17" t="s">
        <v>38</v>
      </c>
      <c r="E8" s="21" t="s">
        <v>39</v>
      </c>
      <c r="H8" s="23">
        <v>45078</v>
      </c>
      <c r="I8" s="6">
        <v>100000.00000000001</v>
      </c>
      <c r="J8" s="8">
        <v>5999.9999999999991</v>
      </c>
      <c r="L8" s="23">
        <v>45078</v>
      </c>
      <c r="M8" s="8">
        <v>1600</v>
      </c>
      <c r="O8" s="7" t="s">
        <v>16</v>
      </c>
      <c r="P8" s="8">
        <v>126209</v>
      </c>
    </row>
    <row r="9" spans="1:16" x14ac:dyDescent="0.25">
      <c r="A9" s="14">
        <v>0.85555555555555574</v>
      </c>
      <c r="D9" s="15" t="s">
        <v>29</v>
      </c>
      <c r="E9" s="20">
        <f>A9</f>
        <v>0.85555555555555574</v>
      </c>
      <c r="H9" s="23">
        <v>45108</v>
      </c>
      <c r="I9" s="6">
        <v>129940.69999999998</v>
      </c>
      <c r="J9" s="8">
        <v>5000.0000000000009</v>
      </c>
      <c r="L9" s="23">
        <v>45108</v>
      </c>
      <c r="M9" s="8">
        <v>1800</v>
      </c>
      <c r="O9" s="7" t="s">
        <v>17</v>
      </c>
      <c r="P9" s="8">
        <v>127340</v>
      </c>
    </row>
    <row r="10" spans="1:16" x14ac:dyDescent="0.25">
      <c r="D10" s="19" t="s">
        <v>30</v>
      </c>
      <c r="E10" s="22">
        <f>1-E9</f>
        <v>0.14444444444444426</v>
      </c>
      <c r="H10" s="23">
        <v>45139</v>
      </c>
      <c r="I10" s="6">
        <v>130000.00000000003</v>
      </c>
      <c r="J10" s="8">
        <v>5000.0000000000009</v>
      </c>
      <c r="L10" s="23">
        <v>45139</v>
      </c>
      <c r="M10" s="8">
        <v>1700</v>
      </c>
      <c r="O10" s="11" t="s">
        <v>31</v>
      </c>
      <c r="P10" s="12">
        <v>891111</v>
      </c>
    </row>
    <row r="11" spans="1:16" x14ac:dyDescent="0.25">
      <c r="A11" s="13" t="s">
        <v>32</v>
      </c>
      <c r="D11" s="17" t="s">
        <v>38</v>
      </c>
      <c r="E11" s="21" t="s">
        <v>39</v>
      </c>
      <c r="H11" s="23">
        <v>45170</v>
      </c>
      <c r="I11" s="6">
        <v>125000</v>
      </c>
      <c r="J11" s="8">
        <v>2000.0000000000002</v>
      </c>
      <c r="L11" s="23">
        <v>45170</v>
      </c>
      <c r="M11" s="8">
        <v>2000</v>
      </c>
    </row>
    <row r="12" spans="1:16" x14ac:dyDescent="0.25">
      <c r="A12" s="14">
        <v>0.85492063492063519</v>
      </c>
      <c r="D12" s="15" t="s">
        <v>33</v>
      </c>
      <c r="E12" s="20">
        <f>A12</f>
        <v>0.85492063492063519</v>
      </c>
      <c r="H12" s="25" t="s">
        <v>31</v>
      </c>
      <c r="I12" s="26">
        <v>754940.7</v>
      </c>
      <c r="J12" s="12">
        <v>118000.00000000001</v>
      </c>
      <c r="L12" s="25" t="s">
        <v>31</v>
      </c>
      <c r="M12" s="12">
        <v>9360</v>
      </c>
    </row>
    <row r="13" spans="1:16" x14ac:dyDescent="0.25">
      <c r="D13" s="19" t="s">
        <v>34</v>
      </c>
      <c r="E13" s="22">
        <f>1-E12</f>
        <v>0.14507936507936481</v>
      </c>
    </row>
    <row r="14" spans="1:16" x14ac:dyDescent="0.25">
      <c r="A14" s="13" t="s">
        <v>35</v>
      </c>
      <c r="D14" s="17" t="s">
        <v>38</v>
      </c>
      <c r="E14" s="21" t="s">
        <v>39</v>
      </c>
    </row>
    <row r="15" spans="1:16" x14ac:dyDescent="0.25">
      <c r="A15" s="14">
        <v>0.8447619047619046</v>
      </c>
      <c r="D15" s="15" t="s">
        <v>36</v>
      </c>
      <c r="E15" s="20">
        <f>A15</f>
        <v>0.8447619047619046</v>
      </c>
    </row>
    <row r="16" spans="1:16" x14ac:dyDescent="0.25">
      <c r="D16" s="19" t="s">
        <v>37</v>
      </c>
      <c r="E16" s="22">
        <f>1-E15</f>
        <v>0.1552380952380954</v>
      </c>
    </row>
    <row r="17" x14ac:dyDescent="0.25"/>
    <row r="18" x14ac:dyDescent="0.25"/>
    <row r="19" x14ac:dyDescent="0.25"/>
    <row r="20" x14ac:dyDescent="0.25"/>
  </sheetData>
  <phoneticPr fontId="5" type="noConversion"/>
  <pageMargins left="0.7" right="0.7" top="0.75" bottom="0.75" header="0" footer="0"/>
  <pageSetup orientation="landscape"/>
  <tableParts count="11">
    <tablePart r:id="rId1"/>
    <tablePart r:id="rId2"/>
    <tablePart r:id="rId3"/>
    <tablePart r:id="rId4"/>
    <tablePart r:id="rId5"/>
    <tablePart r:id="rId6"/>
    <tablePart r:id="rId7"/>
    <tablePart r:id="rId8"/>
    <tablePart r:id="rId9"/>
    <tablePart r:id="rId10"/>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Detail1</vt:lpstr>
      <vt:lpstr>Detail2</vt:lpstr>
      <vt:lpstr>Sheet2</vt:lpstr>
      <vt:lpstr>Sheet3</vt:lpstr>
      <vt:lpstr>Data</vt:lpstr>
      <vt:lpstr>Pivot Tables</vt:lpstr>
      <vt:lpstr>_xlcn.WorksheetConnection_deliveries.csvA1N180791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Xu</dc:creator>
  <cp:lastModifiedBy>Ahmed Attia</cp:lastModifiedBy>
  <dcterms:created xsi:type="dcterms:W3CDTF">2014-05-13T23:37:49Z</dcterms:created>
  <dcterms:modified xsi:type="dcterms:W3CDTF">2026-04-06T10:37:06Z</dcterms:modified>
</cp:coreProperties>
</file>